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15700" windowHeight="18980" tabRatio="500" firstSheet="16" activeTab="20" autoFilterDateGrouping="1"/>
  </bookViews>
  <sheets>
    <sheet xmlns:r="http://schemas.openxmlformats.org/officeDocument/2006/relationships" name="Sources" sheetId="1" state="visible" r:id="rId1"/>
    <sheet xmlns:r="http://schemas.openxmlformats.org/officeDocument/2006/relationships" name="10Q_BS" sheetId="2" state="visible" r:id="rId2"/>
    <sheet xmlns:r="http://schemas.openxmlformats.org/officeDocument/2006/relationships" name="10Q_IS" sheetId="3" state="visible" r:id="rId3"/>
    <sheet xmlns:r="http://schemas.openxmlformats.org/officeDocument/2006/relationships" name="10Q_CF" sheetId="4" state="visible" r:id="rId4"/>
    <sheet xmlns:r="http://schemas.openxmlformats.org/officeDocument/2006/relationships" name="10Q_Debt" sheetId="5" state="visible" r:id="rId5"/>
    <sheet xmlns:r="http://schemas.openxmlformats.org/officeDocument/2006/relationships" name="10Q_DebtText" sheetId="6" state="visible" r:id="rId6"/>
    <sheet xmlns:r="http://schemas.openxmlformats.org/officeDocument/2006/relationships" name="10K_BS" sheetId="7" state="visible" r:id="rId7"/>
    <sheet xmlns:r="http://schemas.openxmlformats.org/officeDocument/2006/relationships" name="10K_IS" sheetId="8" state="visible" r:id="rId8"/>
    <sheet xmlns:r="http://schemas.openxmlformats.org/officeDocument/2006/relationships" name="10K_CF" sheetId="9" state="visible" r:id="rId9"/>
    <sheet xmlns:r="http://schemas.openxmlformats.org/officeDocument/2006/relationships" name="10K_DebtText" sheetId="10" state="visible" r:id="rId10"/>
    <sheet xmlns:r="http://schemas.openxmlformats.org/officeDocument/2006/relationships" name="PR_Q2-26" sheetId="11" state="visible" r:id="rId11"/>
    <sheet xmlns:r="http://schemas.openxmlformats.org/officeDocument/2006/relationships" name="PR_Q4-25" sheetId="12" state="visible" r:id="rId12"/>
    <sheet xmlns:r="http://schemas.openxmlformats.org/officeDocument/2006/relationships" name="Subsequent" sheetId="13" state="visible" r:id="rId13"/>
    <sheet xmlns:r="http://schemas.openxmlformats.org/officeDocument/2006/relationships" name="Guidance" sheetId="14" state="visible" r:id="rId14"/>
    <sheet xmlns:r="http://schemas.openxmlformats.org/officeDocument/2006/relationships" name="Cross_Checks" sheetId="15" state="visible" r:id="rId15"/>
    <sheet xmlns:r="http://schemas.openxmlformats.org/officeDocument/2006/relationships" name="Debt Database" sheetId="16" state="visible" r:id="rId16"/>
    <sheet xmlns:r="http://schemas.openxmlformats.org/officeDocument/2006/relationships" name="Funding Need" sheetId="17" state="visible" r:id="rId17"/>
    <sheet xmlns:r="http://schemas.openxmlformats.org/officeDocument/2006/relationships" name="Metrics" sheetId="18" state="visible" r:id="rId18"/>
    <sheet xmlns:r="http://schemas.openxmlformats.org/officeDocument/2006/relationships" name="Maturity" sheetId="19" state="visible" r:id="rId19"/>
    <sheet xmlns:r="http://schemas.openxmlformats.org/officeDocument/2006/relationships" name="Scenarios" sheetId="20" state="visible" r:id="rId20"/>
    <sheet xmlns:r="http://schemas.openxmlformats.org/officeDocument/2006/relationships" name="Assumptions Log" sheetId="21" state="visible" r:id="rId21"/>
  </sheets>
  <definedNames/>
  <calcPr calcId="191029" fullCalcOnLoad="1" iterateDelta="0.0001"/>
</workbook>
</file>

<file path=xl/styles.xml><?xml version="1.0" encoding="utf-8"?>
<styleSheet xmlns="http://schemas.openxmlformats.org/spreadsheetml/2006/main">
  <numFmts count="15">
    <numFmt numFmtId="164" formatCode="#,##0;\(#,##0\);\—"/>
    <numFmt numFmtId="165" formatCode="#,##0.00;\(#,##0.00\);\—"/>
    <numFmt numFmtId="166" formatCode="#,##0;\(#,##0\);&quot;-&quot;"/>
    <numFmt numFmtId="167" formatCode="mmm\-yyyy"/>
    <numFmt numFmtId="168" formatCode="yyyy\-mm\-dd"/>
    <numFmt numFmtId="169" formatCode="#,##0;\(#,##0\);&quot;—&quot;"/>
    <numFmt numFmtId="170" formatCode="0.0"/>
    <numFmt numFmtId="171" formatCode="0.0%"/>
    <numFmt numFmtId="172" formatCode="0.0\x"/>
    <numFmt numFmtId="173" formatCode="0.00\x"/>
    <numFmt numFmtId="174" formatCode="0%;\-0%;0%"/>
    <numFmt numFmtId="175" formatCode="0.0&quot;x&quot;"/>
    <numFmt numFmtId="176" formatCode="0.00&quot;x&quot;"/>
    <numFmt numFmtId="177" formatCode="0.000"/>
    <numFmt numFmtId="178" formatCode="yyyy-mm-dd"/>
  </numFmts>
  <fonts count="57">
    <font>
      <name val="Calibri"/>
      <charset val="1"/>
      <family val="2"/>
      <color theme="1"/>
      <sz val="11"/>
    </font>
    <font>
      <name val="Arial"/>
      <family val="2"/>
      <b val="1"/>
      <sz val="13"/>
    </font>
    <font>
      <name val="Arial"/>
      <family val="2"/>
      <i val="1"/>
      <color rgb="FF595959"/>
      <sz val="9"/>
    </font>
    <font>
      <name val="Arial"/>
      <family val="2"/>
      <b val="1"/>
      <color rgb="FFC00000"/>
      <sz val="10"/>
    </font>
    <font>
      <name val="Arial"/>
      <family val="2"/>
      <b val="1"/>
      <sz val="10"/>
    </font>
    <font>
      <name val="Arial"/>
      <family val="2"/>
      <sz val="10"/>
    </font>
    <font>
      <name val="Arial"/>
      <family val="2"/>
      <color rgb="FF0000FF"/>
      <sz val="10"/>
    </font>
    <font>
      <name val="Arial"/>
      <family val="2"/>
      <color rgb="FF008000"/>
      <sz val="10"/>
    </font>
    <font>
      <name val="Arial"/>
      <family val="2"/>
      <color rgb="FF008000"/>
      <sz val="10"/>
    </font>
    <font>
      <name val="Arial"/>
      <family val="2"/>
      <b val="1"/>
      <color rgb="FFC00000"/>
      <sz val="10"/>
    </font>
    <font>
      <name val="Arial"/>
      <family val="2"/>
      <b val="1"/>
      <sz val="10"/>
    </font>
    <font>
      <name val="Arial"/>
      <family val="2"/>
      <color rgb="FF0000FF"/>
      <sz val="10"/>
    </font>
    <font>
      <name val="Arial"/>
      <family val="2"/>
      <i val="1"/>
      <color rgb="FF595959"/>
      <sz val="9"/>
    </font>
    <font>
      <name val="Arial"/>
      <family val="2"/>
      <sz val="10"/>
    </font>
    <font>
      <name val="Arial"/>
      <family val="2"/>
      <i val="1"/>
      <sz val="10"/>
    </font>
    <font>
      <name val="Arial"/>
      <family val="2"/>
      <b val="1"/>
      <sz val="13"/>
    </font>
    <font>
      <name val="Arial"/>
      <family val="2"/>
      <b val="1"/>
      <sz val="10"/>
    </font>
    <font>
      <name val="Arial"/>
      <family val="2"/>
      <sz val="10"/>
    </font>
    <font>
      <name val="Arial"/>
      <family val="2"/>
      <b val="1"/>
      <sz val="10"/>
    </font>
    <font>
      <name val="Arial"/>
      <family val="2"/>
      <i val="1"/>
      <color rgb="FF595959"/>
      <sz val="9"/>
    </font>
    <font>
      <name val="Arial"/>
      <family val="2"/>
      <color rgb="FF0000FF"/>
      <sz val="10"/>
    </font>
    <font>
      <name val="Arial"/>
      <family val="2"/>
      <b val="1"/>
      <sz val="13"/>
    </font>
    <font>
      <name val="Arial"/>
      <family val="2"/>
      <color rgb="FF008000"/>
      <sz val="10"/>
    </font>
    <font>
      <name val="Arial"/>
      <family val="2"/>
      <b val="1"/>
      <color rgb="FF0000FF"/>
      <sz val="10"/>
    </font>
    <font>
      <name val="Arial"/>
      <family val="2"/>
      <color theme="1"/>
      <sz val="10"/>
    </font>
    <font>
      <name val="Arial"/>
      <family val="2"/>
      <b val="1"/>
      <color theme="1"/>
      <sz val="10"/>
    </font>
    <font>
      <name val="Arial"/>
      <family val="2"/>
      <i val="1"/>
      <color theme="0" tint="-0.499984740745262"/>
      <sz val="9"/>
    </font>
    <font>
      <name val="Arial"/>
      <family val="2"/>
      <b val="1"/>
      <color rgb="FF008000"/>
      <sz val="10"/>
    </font>
    <font>
      <name val="Arial"/>
      <family val="2"/>
      <b val="1"/>
      <i val="1"/>
      <color theme="0" tint="-0.499984740745262"/>
      <sz val="9"/>
    </font>
    <font>
      <name val="Calibri"/>
      <charset val="1"/>
      <family val="2"/>
      <color rgb="FF008000"/>
      <sz val="11"/>
    </font>
    <font>
      <name val="Arial"/>
      <family val="2"/>
      <b val="1"/>
      <sz val="14"/>
    </font>
    <font>
      <name val="Arial"/>
      <family val="2"/>
      <i val="1"/>
      <color theme="0" tint="-0.3499862666707358"/>
      <sz val="9"/>
    </font>
    <font>
      <name val="Arial"/>
      <family val="2"/>
      <i val="1"/>
      <color rgb="FF595959"/>
      <sz val="8"/>
    </font>
    <font>
      <name val="Arial"/>
      <family val="2"/>
      <sz val="10"/>
    </font>
    <font>
      <name val="Arial"/>
      <family val="2"/>
      <b val="1"/>
      <sz val="13"/>
    </font>
    <font>
      <name val="Arial"/>
      <family val="2"/>
      <i val="1"/>
      <color rgb="FF595959"/>
      <sz val="9"/>
    </font>
    <font>
      <name val="Arial"/>
      <family val="2"/>
      <b val="1"/>
      <color rgb="FF0000FF"/>
      <sz val="10"/>
    </font>
    <font>
      <name val="Arial"/>
      <family val="2"/>
      <b val="1"/>
      <sz val="10"/>
    </font>
    <font>
      <name val="Arial"/>
      <family val="2"/>
      <color rgb="FF595959"/>
      <sz val="10"/>
    </font>
    <font>
      <name val="Arial"/>
      <family val="2"/>
      <color rgb="FF0000FF"/>
      <sz val="10"/>
    </font>
    <font>
      <name val="Arial"/>
      <family val="2"/>
      <color rgb="FF008000"/>
      <sz val="10"/>
    </font>
    <font>
      <name val="Arial"/>
      <family val="2"/>
      <sz val="10"/>
    </font>
    <font>
      <name val="Arial"/>
      <family val="2"/>
      <color rgb="FF0000FF"/>
      <sz val="10"/>
    </font>
    <font>
      <name val="Arial"/>
      <family val="2"/>
      <i val="1"/>
      <color rgb="FF595959"/>
      <sz val="9"/>
    </font>
    <font>
      <name val="Arial"/>
      <family val="2"/>
      <color rgb="FF008000"/>
      <sz val="10"/>
    </font>
    <font>
      <name val="Arial"/>
      <family val="2"/>
      <b val="1"/>
      <color rgb="FFC00000"/>
      <sz val="10"/>
    </font>
    <font>
      <name val="Arial"/>
      <family val="2"/>
      <sz val="10"/>
    </font>
    <font>
      <name val="Arial"/>
      <family val="2"/>
      <i val="1"/>
      <color rgb="FF595959"/>
      <sz val="9"/>
    </font>
    <font>
      <name val="Arial"/>
      <family val="2"/>
      <b val="1"/>
      <sz val="10"/>
    </font>
    <font>
      <name val="Arial"/>
      <family val="2"/>
      <sz val="10"/>
    </font>
    <font>
      <name val="Arial"/>
      <family val="2"/>
      <b val="1"/>
      <sz val="10"/>
    </font>
    <font>
      <name val="Arial"/>
      <family val="2"/>
      <i val="1"/>
      <color rgb="FF595959"/>
      <sz val="9"/>
    </font>
    <font>
      <name val="Arial"/>
      <b val="1"/>
      <sz val="13"/>
    </font>
    <font>
      <name val="Arial"/>
      <i val="1"/>
      <color rgb="00595959"/>
      <sz val="9"/>
    </font>
    <font>
      <name val="Arial"/>
      <b val="1"/>
      <sz val="10"/>
    </font>
    <font>
      <name val="Arial"/>
      <sz val="10"/>
    </font>
    <font>
      <name val="Arial"/>
      <color rgb="00008000"/>
      <sz val="10"/>
    </font>
  </fonts>
  <fills count="19">
    <fill>
      <patternFill/>
    </fill>
    <fill>
      <patternFill patternType="gray125"/>
    </fill>
    <fill>
      <patternFill patternType="solid">
        <fgColor rgb="FFD9E1F2"/>
        <bgColor rgb="FFF2F2F2"/>
      </patternFill>
    </fill>
    <fill>
      <patternFill patternType="solid">
        <fgColor rgb="FFFFF2CC"/>
        <bgColor rgb="FFF2F2F2"/>
      </patternFill>
    </fill>
    <fill>
      <patternFill patternType="solid">
        <fgColor rgb="FFF2F2F2"/>
        <bgColor rgb="FFFFF2CC"/>
      </patternFill>
    </fill>
    <fill>
      <patternFill patternType="solid">
        <fgColor rgb="FFD9E1F2"/>
      </patternFill>
    </fill>
    <fill>
      <patternFill patternType="solid">
        <fgColor rgb="FFFFF2CC"/>
      </patternFill>
    </fill>
    <fill>
      <patternFill patternType="solid">
        <fgColor rgb="FFF2F2F2"/>
      </patternFill>
    </fill>
    <fill>
      <patternFill patternType="solid">
        <fgColor rgb="FFD9E1F2"/>
      </patternFill>
    </fill>
    <fill>
      <patternFill patternType="solid">
        <fgColor rgb="FFF2F2F2"/>
      </patternFill>
    </fill>
    <fill>
      <patternFill patternType="solid">
        <fgColor rgb="FFFFF2CC"/>
      </patternFill>
    </fill>
    <fill>
      <patternFill patternType="solid">
        <fgColor rgb="FFF2F2F2"/>
        <bgColor indexed="64"/>
      </patternFill>
    </fill>
    <fill>
      <patternFill patternType="solid">
        <fgColor rgb="FFFFF2CC"/>
      </patternFill>
    </fill>
    <fill>
      <patternFill patternType="solid">
        <fgColor rgb="FFD9E1F2"/>
      </patternFill>
    </fill>
    <fill>
      <patternFill patternType="solid">
        <fgColor rgb="FFF2F2F2"/>
      </patternFill>
    </fill>
    <fill>
      <patternFill patternType="solid">
        <fgColor rgb="FFBDD7EE"/>
      </patternFill>
    </fill>
    <fill>
      <patternFill patternType="solid">
        <fgColor rgb="FFFFF2CC"/>
      </patternFill>
    </fill>
    <fill>
      <patternFill patternType="solid">
        <fgColor rgb="00D9E1F2"/>
      </patternFill>
    </fill>
    <fill>
      <patternFill patternType="solid">
        <fgColor rgb="00F2F2F2"/>
      </patternFill>
    </fill>
  </fills>
  <borders count="9">
    <border>
      <left/>
      <right/>
      <top/>
      <bottom/>
      <diagonal/>
    </border>
    <border>
      <left/>
      <right/>
      <top style="thin">
        <color rgb="FF808080"/>
      </top>
      <bottom/>
      <diagonal/>
    </border>
    <border>
      <left/>
      <right/>
      <top style="thin">
        <color indexed="64"/>
      </top>
      <bottom/>
      <diagonal/>
    </border>
    <border>
      <left/>
      <right/>
      <top style="thin">
        <color auto="1"/>
      </top>
      <bottom/>
      <diagonal/>
    </border>
    <border>
      <left/>
      <right/>
      <top style="thin">
        <color auto="1"/>
      </top>
      <bottom style="double">
        <color auto="1"/>
      </bottom>
      <diagonal/>
    </border>
    <border>
      <left/>
      <right/>
      <top/>
      <bottom style="thin">
        <color indexed="64"/>
      </bottom>
      <diagonal/>
    </border>
    <border>
      <left style="thin">
        <color rgb="FF808080"/>
      </left>
      <right style="thin">
        <color rgb="FF808080"/>
      </right>
      <top style="thin">
        <color rgb="FF808080"/>
      </top>
      <bottom style="thin">
        <color rgb="FF808080"/>
      </bottom>
      <diagonal/>
    </border>
    <border>
      <left/>
      <right/>
      <top style="thin">
        <color auto="1"/>
      </top>
      <bottom/>
      <diagonal/>
    </border>
    <border>
      <bottom style="thin">
        <color rgb="00BFBFBF"/>
      </bottom>
    </border>
  </borders>
  <cellStyleXfs count="1">
    <xf numFmtId="0" fontId="0" fillId="0" borderId="0"/>
  </cellStyleXfs>
  <cellXfs count="202">
    <xf numFmtId="0" fontId="0" fillId="0" borderId="0" pivotButton="0" quotePrefix="0" xfId="0"/>
    <xf numFmtId="0" fontId="4" fillId="2" borderId="0" applyAlignment="1" pivotButton="0" quotePrefix="0" xfId="0">
      <alignment horizontal="left" vertical="center" wrapText="1"/>
    </xf>
    <xf numFmtId="0" fontId="4" fillId="2" borderId="0" applyAlignment="1" pivotButton="0" quotePrefix="0" xfId="0">
      <alignment horizontal="center"/>
    </xf>
    <xf numFmtId="0" fontId="2" fillId="0" borderId="0" applyAlignment="1" pivotButton="0" quotePrefix="0" xfId="0">
      <alignment vertical="top" wrapText="1"/>
    </xf>
    <xf numFmtId="0" fontId="4" fillId="2" borderId="0" applyAlignment="1" pivotButton="0" quotePrefix="0" xfId="0">
      <alignment horizontal="center" vertical="center" wrapText="1"/>
    </xf>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applyAlignment="1" pivotButton="0" quotePrefix="0" xfId="0">
      <alignment vertical="top" wrapText="1"/>
    </xf>
    <xf numFmtId="0" fontId="4" fillId="0" borderId="0" pivotButton="0" quotePrefix="0" xfId="0"/>
    <xf numFmtId="0" fontId="5" fillId="0" borderId="0" pivotButton="0" quotePrefix="0" xfId="0"/>
    <xf numFmtId="164" fontId="6" fillId="0" borderId="0" pivotButton="0" quotePrefix="0" xfId="0"/>
    <xf numFmtId="0" fontId="4" fillId="3" borderId="0" pivotButton="0" quotePrefix="0" xfId="0"/>
    <xf numFmtId="0" fontId="0" fillId="3" borderId="0" pivotButton="0" quotePrefix="0" xfId="0"/>
    <xf numFmtId="164" fontId="5" fillId="0" borderId="0" pivotButton="0" quotePrefix="0" xfId="0"/>
    <xf numFmtId="165" fontId="6" fillId="0" borderId="0" pivotButton="0" quotePrefix="0" xfId="0"/>
    <xf numFmtId="0" fontId="0" fillId="2" borderId="0" pivotButton="0" quotePrefix="0" xfId="0"/>
    <xf numFmtId="0" fontId="4" fillId="2" borderId="0" applyAlignment="1" pivotButton="0" quotePrefix="0" xfId="0">
      <alignment horizontal="center" wrapText="1"/>
    </xf>
    <xf numFmtId="0" fontId="6" fillId="0" borderId="0" applyAlignment="1" pivotButton="0" quotePrefix="0" xfId="0">
      <alignment horizontal="center"/>
    </xf>
    <xf numFmtId="9" fontId="6" fillId="0" borderId="0" applyAlignment="1" pivotButton="0" quotePrefix="0" xfId="0">
      <alignment horizontal="center"/>
    </xf>
    <xf numFmtId="0" fontId="6" fillId="0" borderId="0" pivotButton="0" quotePrefix="0" xfId="0"/>
    <xf numFmtId="0" fontId="6"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horizontal="center"/>
    </xf>
    <xf numFmtId="0" fontId="4" fillId="4" borderId="0" pivotButton="0" quotePrefix="0" xfId="0"/>
    <xf numFmtId="0" fontId="0" fillId="4" borderId="0" pivotButton="0" quotePrefix="0" xfId="0"/>
    <xf numFmtId="164" fontId="7" fillId="0" borderId="0" pivotButton="0" quotePrefix="0" xfId="0"/>
    <xf numFmtId="0" fontId="9" fillId="0" borderId="0" pivotButton="0" quotePrefix="0" xfId="0"/>
    <xf numFmtId="164" fontId="8" fillId="0" borderId="0" pivotButton="0" quotePrefix="0" xfId="0"/>
    <xf numFmtId="0" fontId="10" fillId="5" borderId="0" applyAlignment="1" pivotButton="0" quotePrefix="0" xfId="0">
      <alignment horizontal="left" vertical="center" wrapText="1"/>
    </xf>
    <xf numFmtId="0" fontId="10" fillId="5" borderId="0" applyAlignment="1" pivotButton="0" quotePrefix="0" xfId="0">
      <alignment horizontal="center" vertical="center" wrapText="1"/>
    </xf>
    <xf numFmtId="0" fontId="11" fillId="0" borderId="0" applyAlignment="1" pivotButton="0" quotePrefix="0" xfId="0">
      <alignment vertical="top" wrapText="1"/>
    </xf>
    <xf numFmtId="0" fontId="11" fillId="0" borderId="0" applyAlignment="1" pivotButton="0" quotePrefix="0" xfId="0">
      <alignment horizontal="center" vertical="top"/>
    </xf>
    <xf numFmtId="166" fontId="11" fillId="0" borderId="0" applyAlignment="1" pivotButton="0" quotePrefix="0" xfId="0">
      <alignment vertical="top"/>
    </xf>
    <xf numFmtId="166" fontId="8" fillId="0" borderId="0" applyAlignment="1" pivotButton="0" quotePrefix="0" xfId="0">
      <alignment vertical="top"/>
    </xf>
    <xf numFmtId="166" fontId="13" fillId="0" borderId="0" applyAlignment="1" pivotButton="0" quotePrefix="0" xfId="0">
      <alignment vertical="top"/>
    </xf>
    <xf numFmtId="9" fontId="8" fillId="0" borderId="0" applyAlignment="1" pivotButton="0" quotePrefix="0" xfId="0">
      <alignment horizontal="center" vertical="top"/>
    </xf>
    <xf numFmtId="167" fontId="11" fillId="0" borderId="0" applyAlignment="1" pivotButton="0" quotePrefix="0" xfId="0">
      <alignment horizontal="center" vertical="top"/>
    </xf>
    <xf numFmtId="0" fontId="12" fillId="0" borderId="0" applyAlignment="1" pivotButton="0" quotePrefix="0" xfId="0">
      <alignment vertical="top" wrapText="1"/>
    </xf>
    <xf numFmtId="9" fontId="11" fillId="0" borderId="0" applyAlignment="1" pivotButton="0" quotePrefix="0" xfId="0">
      <alignment horizontal="center" vertical="top"/>
    </xf>
    <xf numFmtId="0" fontId="10" fillId="0" borderId="0" pivotButton="0" quotePrefix="0" xfId="0"/>
    <xf numFmtId="166" fontId="10" fillId="0" borderId="1" pivotButton="0" quotePrefix="0" xfId="0"/>
    <xf numFmtId="0" fontId="13" fillId="0" borderId="0" pivotButton="0" quotePrefix="0" xfId="0"/>
    <xf numFmtId="168" fontId="11" fillId="0" borderId="0" pivotButton="0" quotePrefix="0" xfId="0"/>
    <xf numFmtId="0" fontId="12" fillId="0" borderId="0" pivotButton="0" quotePrefix="0" xfId="0"/>
    <xf numFmtId="0" fontId="10" fillId="6" borderId="0" pivotButton="0" quotePrefix="0" xfId="0"/>
    <xf numFmtId="0" fontId="0" fillId="6" borderId="0" pivotButton="0" quotePrefix="0" xfId="0"/>
    <xf numFmtId="166" fontId="13" fillId="0" borderId="0" pivotButton="0" quotePrefix="0" xfId="0"/>
    <xf numFmtId="0" fontId="10" fillId="7" borderId="0" pivotButton="0" quotePrefix="0" xfId="0"/>
    <xf numFmtId="0" fontId="14" fillId="0" borderId="0" pivotButton="0" quotePrefix="0" xfId="0"/>
    <xf numFmtId="9" fontId="13" fillId="0" borderId="0" pivotButton="0" quotePrefix="0" xfId="0"/>
    <xf numFmtId="0" fontId="15" fillId="0" borderId="0" pivotButton="0" quotePrefix="0" xfId="0"/>
    <xf numFmtId="0" fontId="0" fillId="7" borderId="0" pivotButton="0" quotePrefix="0" xfId="0"/>
    <xf numFmtId="0" fontId="10" fillId="5" borderId="0" applyAlignment="1" pivotButton="0" quotePrefix="0" xfId="0">
      <alignment horizontal="left" wrapText="1"/>
    </xf>
    <xf numFmtId="0" fontId="10" fillId="5" borderId="0" applyAlignment="1" pivotButton="0" quotePrefix="0" xfId="0">
      <alignment horizontal="center" wrapText="1"/>
    </xf>
    <xf numFmtId="0" fontId="11" fillId="0" borderId="0" pivotButton="0" quotePrefix="0" xfId="0"/>
    <xf numFmtId="169" fontId="11" fillId="0" borderId="0" pivotButton="0" quotePrefix="0" xfId="0"/>
    <xf numFmtId="0" fontId="13" fillId="6" borderId="0" pivotButton="0" quotePrefix="0" xfId="0"/>
    <xf numFmtId="169" fontId="13" fillId="6" borderId="0" pivotButton="0" quotePrefix="0" xfId="0"/>
    <xf numFmtId="170" fontId="11" fillId="0" borderId="0" pivotButton="0" quotePrefix="0" xfId="0"/>
    <xf numFmtId="0" fontId="12" fillId="0" borderId="0" applyAlignment="1" pivotButton="0" quotePrefix="0" xfId="0">
      <alignment horizontal="left" vertical="top"/>
    </xf>
    <xf numFmtId="166" fontId="16" fillId="0" borderId="2" pivotButton="0" quotePrefix="0" xfId="0"/>
    <xf numFmtId="0" fontId="16" fillId="5" borderId="0" applyAlignment="1" pivotButton="0" quotePrefix="0" xfId="0">
      <alignment horizontal="center" vertical="center" wrapText="1"/>
    </xf>
    <xf numFmtId="166" fontId="17" fillId="0" borderId="0" applyAlignment="1" pivotButton="0" quotePrefix="0" xfId="0">
      <alignment vertical="top"/>
    </xf>
    <xf numFmtId="166" fontId="18" fillId="0" borderId="2" pivotButton="0" quotePrefix="0" xfId="0"/>
    <xf numFmtId="0" fontId="19" fillId="0" borderId="0" applyAlignment="1" pivotButton="0" quotePrefix="0" xfId="0">
      <alignment horizontal="right"/>
    </xf>
    <xf numFmtId="171" fontId="18" fillId="0" borderId="0" pivotButton="0" quotePrefix="0" xfId="0"/>
    <xf numFmtId="0" fontId="17" fillId="0" borderId="0" pivotButton="0" quotePrefix="0" xfId="0"/>
    <xf numFmtId="171" fontId="20" fillId="0" borderId="0" pivotButton="0" quotePrefix="0" xfId="0"/>
    <xf numFmtId="0" fontId="19" fillId="0" borderId="0" pivotButton="0" quotePrefix="0" xfId="0"/>
    <xf numFmtId="0" fontId="21" fillId="0" borderId="0" pivotButton="0" quotePrefix="0" xfId="0"/>
    <xf numFmtId="0" fontId="18" fillId="8" borderId="0" applyAlignment="1" pivotButton="0" quotePrefix="0" xfId="0">
      <alignment horizontal="left"/>
    </xf>
    <xf numFmtId="0" fontId="18" fillId="8" borderId="0" applyAlignment="1" pivotButton="0" quotePrefix="0" xfId="0">
      <alignment horizontal="right"/>
    </xf>
    <xf numFmtId="0" fontId="18" fillId="8" borderId="0" applyAlignment="1" pivotButton="0" quotePrefix="0" xfId="0">
      <alignment horizontal="left" indent="1"/>
    </xf>
    <xf numFmtId="0" fontId="18" fillId="9" borderId="0" pivotButton="0" quotePrefix="0" xfId="0"/>
    <xf numFmtId="0" fontId="0" fillId="9" borderId="0" pivotButton="0" quotePrefix="0" xfId="0"/>
    <xf numFmtId="0" fontId="17" fillId="0" borderId="0" applyAlignment="1" pivotButton="0" quotePrefix="0" xfId="0">
      <alignment indent="1"/>
    </xf>
    <xf numFmtId="166" fontId="17" fillId="0" borderId="0" pivotButton="0" quotePrefix="0" xfId="0"/>
    <xf numFmtId="0" fontId="19" fillId="0" borderId="0" applyAlignment="1" pivotButton="0" quotePrefix="0" xfId="0">
      <alignment horizontal="left" indent="1"/>
    </xf>
    <xf numFmtId="166" fontId="22" fillId="0" borderId="0" pivotButton="0" quotePrefix="0" xfId="0"/>
    <xf numFmtId="0" fontId="18" fillId="0" borderId="3" pivotButton="0" quotePrefix="0" xfId="0"/>
    <xf numFmtId="166" fontId="18" fillId="0" borderId="3" pivotButton="0" quotePrefix="0" xfId="0"/>
    <xf numFmtId="0" fontId="0" fillId="0" borderId="3" pivotButton="0" quotePrefix="0" xfId="0"/>
    <xf numFmtId="0" fontId="18" fillId="0" borderId="4" pivotButton="0" quotePrefix="0" xfId="0"/>
    <xf numFmtId="166" fontId="18" fillId="0" borderId="4" pivotButton="0" quotePrefix="0" xfId="0"/>
    <xf numFmtId="0" fontId="19" fillId="0" borderId="4" applyAlignment="1" pivotButton="0" quotePrefix="0" xfId="0">
      <alignment horizontal="left" indent="1"/>
    </xf>
    <xf numFmtId="0" fontId="18" fillId="0" borderId="0" pivotButton="0" quotePrefix="0" xfId="0"/>
    <xf numFmtId="166" fontId="20" fillId="0" borderId="0" pivotButton="0" quotePrefix="0" xfId="0"/>
    <xf numFmtId="166" fontId="23" fillId="0" borderId="3" pivotButton="0" quotePrefix="0" xfId="0"/>
    <xf numFmtId="166" fontId="17" fillId="0" borderId="3" pivotButton="0" quotePrefix="0" xfId="0"/>
    <xf numFmtId="171" fontId="22" fillId="0" borderId="0" pivotButton="0" quotePrefix="0" xfId="0"/>
    <xf numFmtId="171" fontId="17" fillId="0" borderId="0" pivotButton="0" quotePrefix="0" xfId="0"/>
    <xf numFmtId="170" fontId="20" fillId="0" borderId="0" pivotButton="0" quotePrefix="0" xfId="0"/>
    <xf numFmtId="0" fontId="17" fillId="10" borderId="0" applyAlignment="1" pivotButton="0" quotePrefix="0" xfId="0">
      <alignment indent="1"/>
    </xf>
    <xf numFmtId="0" fontId="0" fillId="10" borderId="0" pivotButton="0" quotePrefix="0" xfId="0"/>
    <xf numFmtId="166" fontId="17" fillId="10" borderId="0" pivotButton="0" quotePrefix="0" xfId="0"/>
    <xf numFmtId="166" fontId="18" fillId="0" borderId="0" pivotButton="0" quotePrefix="0" xfId="0"/>
    <xf numFmtId="166" fontId="5" fillId="0" borderId="0" pivotButton="0" quotePrefix="0" xfId="0"/>
    <xf numFmtId="166" fontId="4" fillId="0" borderId="0" pivotButton="0" quotePrefix="0" xfId="0"/>
    <xf numFmtId="0" fontId="4" fillId="0" borderId="3" pivotButton="0" quotePrefix="0" xfId="0"/>
    <xf numFmtId="166" fontId="4" fillId="0" borderId="3" pivotButton="0" quotePrefix="0" xfId="0"/>
    <xf numFmtId="0" fontId="19" fillId="0" borderId="0" applyAlignment="1" pivotButton="0" quotePrefix="0" xfId="0">
      <alignment horizontal="left" wrapText="1" indent="1"/>
    </xf>
    <xf numFmtId="0" fontId="5" fillId="0" borderId="0" applyAlignment="1" pivotButton="0" quotePrefix="0" xfId="0">
      <alignment horizontal="left"/>
    </xf>
    <xf numFmtId="10" fontId="5" fillId="0" borderId="0" pivotButton="0" quotePrefix="0" xfId="0"/>
    <xf numFmtId="2" fontId="5" fillId="0" borderId="0" pivotButton="0" quotePrefix="0" xfId="0"/>
    <xf numFmtId="0" fontId="5" fillId="0" borderId="0" applyAlignment="1" pivotButton="0" quotePrefix="0" xfId="0">
      <alignment indent="1"/>
    </xf>
    <xf numFmtId="0" fontId="5" fillId="10" borderId="0" applyAlignment="1" pivotButton="0" quotePrefix="0" xfId="0">
      <alignment indent="1"/>
    </xf>
    <xf numFmtId="0" fontId="4" fillId="8" borderId="5" applyAlignment="1" pivotButton="0" quotePrefix="0" xfId="0">
      <alignment horizontal="right"/>
    </xf>
    <xf numFmtId="3" fontId="7" fillId="0" borderId="0" applyAlignment="1" pivotButton="0" quotePrefix="0" xfId="0">
      <alignment vertical="center" wrapText="1"/>
    </xf>
    <xf numFmtId="0" fontId="24" fillId="0" borderId="0" pivotButton="0" quotePrefix="0" xfId="0"/>
    <xf numFmtId="0" fontId="24" fillId="0" borderId="5" pivotButton="0" quotePrefix="0" xfId="0"/>
    <xf numFmtId="0" fontId="24" fillId="0" borderId="0" applyAlignment="1" pivotButton="0" quotePrefix="0" xfId="0">
      <alignment horizontal="left" indent="1"/>
    </xf>
    <xf numFmtId="3" fontId="7" fillId="0" borderId="0" pivotButton="0" quotePrefix="0" xfId="0"/>
    <xf numFmtId="0" fontId="25" fillId="0" borderId="0" pivotButton="0" quotePrefix="0" xfId="0"/>
    <xf numFmtId="3" fontId="24" fillId="0" borderId="0" pivotButton="0" quotePrefix="0" xfId="0"/>
    <xf numFmtId="0" fontId="26" fillId="0" borderId="0" pivotButton="0" quotePrefix="0" xfId="0"/>
    <xf numFmtId="172" fontId="24" fillId="0" borderId="0" pivotButton="0" quotePrefix="0" xfId="0"/>
    <xf numFmtId="173" fontId="24" fillId="0" borderId="0" pivotButton="0" quotePrefix="0" xfId="0"/>
    <xf numFmtId="0" fontId="25" fillId="0" borderId="3" applyAlignment="1" pivotButton="0" quotePrefix="0" xfId="0">
      <alignment horizontal="left" indent="1"/>
    </xf>
    <xf numFmtId="0" fontId="25" fillId="0" borderId="3" pivotButton="0" quotePrefix="0" xfId="0"/>
    <xf numFmtId="3" fontId="27" fillId="0" borderId="3" pivotButton="0" quotePrefix="0" xfId="0"/>
    <xf numFmtId="0" fontId="28" fillId="0" borderId="3" pivotButton="0" quotePrefix="0" xfId="0"/>
    <xf numFmtId="0" fontId="4" fillId="8" borderId="5" applyAlignment="1" pivotButton="0" quotePrefix="0" xfId="0">
      <alignment horizontal="left" vertical="top"/>
    </xf>
    <xf numFmtId="0" fontId="26" fillId="0" borderId="0" applyAlignment="1" pivotButton="0" quotePrefix="0" xfId="0">
      <alignment wrapText="1"/>
    </xf>
    <xf numFmtId="0" fontId="25" fillId="11" borderId="0" applyAlignment="1" pivotButton="0" quotePrefix="0" xfId="0">
      <alignment horizontal="left"/>
    </xf>
    <xf numFmtId="0" fontId="24" fillId="11" borderId="0" pivotButton="0" quotePrefix="0" xfId="0"/>
    <xf numFmtId="0" fontId="26" fillId="11" borderId="0" pivotButton="0" quotePrefix="0" xfId="0"/>
    <xf numFmtId="0" fontId="4" fillId="11" borderId="0" applyAlignment="1" pivotButton="0" quotePrefix="0" xfId="0">
      <alignment horizontal="left"/>
    </xf>
    <xf numFmtId="0" fontId="4" fillId="11" borderId="0" applyAlignment="1" pivotButton="0" quotePrefix="0" xfId="0">
      <alignment horizontal="left" vertical="top"/>
    </xf>
    <xf numFmtId="0" fontId="25" fillId="11" borderId="0" pivotButton="0" quotePrefix="0" xfId="0"/>
    <xf numFmtId="3" fontId="7" fillId="0" borderId="0" applyAlignment="1" pivotButton="0" quotePrefix="0" xfId="0">
      <alignment wrapText="1"/>
    </xf>
    <xf numFmtId="0" fontId="29" fillId="0" borderId="0" pivotButton="0" quotePrefix="0" xfId="0"/>
    <xf numFmtId="173" fontId="0" fillId="0" borderId="0" pivotButton="0" quotePrefix="0" xfId="0"/>
    <xf numFmtId="3" fontId="0" fillId="0" borderId="0" pivotButton="0" quotePrefix="0" xfId="0"/>
    <xf numFmtId="0" fontId="4" fillId="8" borderId="5" applyAlignment="1" pivotButton="0" quotePrefix="0" xfId="0">
      <alignment horizontal="left"/>
    </xf>
    <xf numFmtId="171" fontId="24" fillId="0" borderId="0" pivotButton="0" quotePrefix="0" xfId="0"/>
    <xf numFmtId="0" fontId="30" fillId="0" borderId="0" pivotButton="0" quotePrefix="0" xfId="0"/>
    <xf numFmtId="0" fontId="31" fillId="0" borderId="0" pivotButton="0" quotePrefix="0" xfId="0"/>
    <xf numFmtId="1" fontId="11" fillId="0" borderId="0" applyAlignment="1" pivotButton="0" quotePrefix="0" xfId="0">
      <alignment horizontal="center" vertical="top"/>
    </xf>
    <xf numFmtId="0" fontId="24" fillId="0" borderId="3" pivotButton="0" quotePrefix="0" xfId="0"/>
    <xf numFmtId="0" fontId="32" fillId="0" borderId="0" pivotButton="0" quotePrefix="0" xfId="0"/>
    <xf numFmtId="0" fontId="34" fillId="0" borderId="0" pivotButton="0" quotePrefix="0" xfId="0"/>
    <xf numFmtId="0" fontId="33" fillId="0" borderId="0" pivotButton="0" quotePrefix="0" xfId="0"/>
    <xf numFmtId="0" fontId="35" fillId="0" borderId="0" pivotButton="0" quotePrefix="0" xfId="0"/>
    <xf numFmtId="0" fontId="36" fillId="12" borderId="6" applyAlignment="1" pivotButton="0" quotePrefix="0" xfId="0">
      <alignment horizontal="center"/>
    </xf>
    <xf numFmtId="0" fontId="37" fillId="0" borderId="0" pivotButton="0" quotePrefix="0" xfId="0"/>
    <xf numFmtId="0" fontId="37" fillId="13" borderId="0" applyAlignment="1" pivotButton="0" quotePrefix="0" xfId="0">
      <alignment horizontal="left" wrapText="1"/>
    </xf>
    <xf numFmtId="0" fontId="37" fillId="13" borderId="0" applyAlignment="1" pivotButton="0" quotePrefix="0" xfId="0">
      <alignment horizontal="right" wrapText="1"/>
    </xf>
    <xf numFmtId="0" fontId="37" fillId="15" borderId="0" applyAlignment="1" pivotButton="0" quotePrefix="0" xfId="0">
      <alignment horizontal="right" wrapText="1"/>
    </xf>
    <xf numFmtId="0" fontId="33" fillId="0" borderId="0" applyAlignment="1" pivotButton="0" quotePrefix="0" xfId="0">
      <alignment vertical="top" indent="1"/>
    </xf>
    <xf numFmtId="0" fontId="38" fillId="0" borderId="0" applyAlignment="1" pivotButton="0" quotePrefix="0" xfId="0">
      <alignment horizontal="center" vertical="top"/>
    </xf>
    <xf numFmtId="174" fontId="39" fillId="0" borderId="0" applyAlignment="1" pivotButton="0" quotePrefix="0" xfId="0">
      <alignment vertical="top"/>
    </xf>
    <xf numFmtId="174" fontId="37" fillId="14" borderId="0" applyAlignment="1" pivotButton="0" quotePrefix="0" xfId="0">
      <alignment vertical="top"/>
    </xf>
    <xf numFmtId="0" fontId="35" fillId="0" borderId="0" applyAlignment="1" pivotButton="0" quotePrefix="0" xfId="0">
      <alignment vertical="top" wrapText="1"/>
    </xf>
    <xf numFmtId="171" fontId="40" fillId="0" borderId="0" applyAlignment="1" pivotButton="0" quotePrefix="0" xfId="0">
      <alignment vertical="top"/>
    </xf>
    <xf numFmtId="171" fontId="39" fillId="0" borderId="0" applyAlignment="1" pivotButton="0" quotePrefix="0" xfId="0">
      <alignment vertical="top"/>
    </xf>
    <xf numFmtId="171" fontId="37" fillId="14" borderId="0" applyAlignment="1" pivotButton="0" quotePrefix="0" xfId="0">
      <alignment vertical="top"/>
    </xf>
    <xf numFmtId="1" fontId="39" fillId="0" borderId="0" applyAlignment="1" pivotButton="0" quotePrefix="0" xfId="0">
      <alignment vertical="top"/>
    </xf>
    <xf numFmtId="1" fontId="37" fillId="14" borderId="0" applyAlignment="1" pivotButton="0" quotePrefix="0" xfId="0">
      <alignment vertical="top"/>
    </xf>
    <xf numFmtId="0" fontId="45" fillId="0" borderId="0" pivotButton="0" quotePrefix="0" xfId="0"/>
    <xf numFmtId="171" fontId="44" fillId="0" borderId="0" pivotButton="0" quotePrefix="0" xfId="0"/>
    <xf numFmtId="0" fontId="43" fillId="0" borderId="0" applyAlignment="1" pivotButton="0" quotePrefix="0" xfId="0">
      <alignment horizontal="left" indent="1"/>
    </xf>
    <xf numFmtId="166" fontId="41" fillId="0" borderId="0" pivotButton="0" quotePrefix="0" xfId="0"/>
    <xf numFmtId="166" fontId="41" fillId="0" borderId="3" pivotButton="0" quotePrefix="0" xfId="0"/>
    <xf numFmtId="166" fontId="42" fillId="0" borderId="3" pivotButton="0" quotePrefix="0" xfId="0"/>
    <xf numFmtId="174" fontId="44" fillId="0" borderId="3" pivotButton="0" quotePrefix="0" xfId="0"/>
    <xf numFmtId="166" fontId="46" fillId="0" borderId="0" pivotButton="0" quotePrefix="0" xfId="0"/>
    <xf numFmtId="0" fontId="47" fillId="0" borderId="0" applyAlignment="1" pivotButton="0" quotePrefix="0" xfId="0">
      <alignment horizontal="left" indent="1"/>
    </xf>
    <xf numFmtId="166" fontId="48" fillId="0" borderId="3" pivotButton="0" quotePrefix="0" xfId="0"/>
    <xf numFmtId="3" fontId="37" fillId="14" borderId="0" applyAlignment="1" pivotButton="0" quotePrefix="0" xfId="0">
      <alignment vertical="top"/>
    </xf>
    <xf numFmtId="3" fontId="37" fillId="14" borderId="3" applyAlignment="1" pivotButton="0" quotePrefix="0" xfId="0">
      <alignment vertical="top"/>
    </xf>
    <xf numFmtId="0" fontId="49" fillId="0" borderId="0" applyAlignment="1" pivotButton="0" quotePrefix="0" xfId="0">
      <alignment indent="1"/>
    </xf>
    <xf numFmtId="3" fontId="49" fillId="0" borderId="0" pivotButton="0" quotePrefix="0" xfId="0"/>
    <xf numFmtId="0" fontId="51" fillId="0" borderId="0" pivotButton="0" quotePrefix="0" xfId="0"/>
    <xf numFmtId="0" fontId="50" fillId="0" borderId="3" applyAlignment="1" pivotButton="0" quotePrefix="0" xfId="0">
      <alignment indent="1"/>
    </xf>
    <xf numFmtId="3" fontId="49" fillId="0" borderId="7" pivotButton="0" quotePrefix="0" xfId="0"/>
    <xf numFmtId="0" fontId="50" fillId="0" borderId="0" applyAlignment="1" pivotButton="0" quotePrefix="0" xfId="0">
      <alignment indent="1"/>
    </xf>
    <xf numFmtId="175" fontId="50" fillId="0" borderId="0" pivotButton="0" quotePrefix="0" xfId="0"/>
    <xf numFmtId="175" fontId="50" fillId="14" borderId="0" applyAlignment="1" pivotButton="0" quotePrefix="0" xfId="0">
      <alignment vertical="top"/>
    </xf>
    <xf numFmtId="176" fontId="50" fillId="0" borderId="0" pivotButton="0" quotePrefix="0" xfId="0"/>
    <xf numFmtId="176" fontId="50" fillId="14" borderId="0" applyAlignment="1" pivotButton="0" quotePrefix="0" xfId="0">
      <alignment vertical="top"/>
    </xf>
    <xf numFmtId="0" fontId="49" fillId="16" borderId="0" applyAlignment="1" pivotButton="0" quotePrefix="0" xfId="0">
      <alignment indent="1"/>
    </xf>
    <xf numFmtId="0" fontId="0" fillId="16" borderId="0" pivotButton="0" quotePrefix="0" xfId="0"/>
    <xf numFmtId="177" fontId="49" fillId="16" borderId="0" pivotButton="0" quotePrefix="0" xfId="0"/>
    <xf numFmtId="0" fontId="4" fillId="2" borderId="0" applyAlignment="1" pivotButton="0" quotePrefix="0" xfId="0">
      <alignment horizontal="center" vertical="center" wrapText="1"/>
    </xf>
    <xf numFmtId="0" fontId="0" fillId="0" borderId="0" pivotButton="0" quotePrefix="0" xfId="0"/>
    <xf numFmtId="0" fontId="4" fillId="2" borderId="0" applyAlignment="1" pivotButton="0" quotePrefix="0" xfId="0">
      <alignment horizontal="center"/>
    </xf>
    <xf numFmtId="0" fontId="2" fillId="0" borderId="0" applyAlignment="1" pivotButton="0" quotePrefix="0" xfId="0">
      <alignment vertical="top" wrapText="1"/>
    </xf>
    <xf numFmtId="0" fontId="4" fillId="2" borderId="0" applyAlignment="1" pivotButton="0" quotePrefix="0" xfId="0">
      <alignment horizontal="left" vertical="center" wrapText="1"/>
    </xf>
    <xf numFmtId="0" fontId="11" fillId="0" borderId="0" applyAlignment="1" pivotButton="0" quotePrefix="0" xfId="0">
      <alignment vertical="top" wrapText="1"/>
    </xf>
    <xf numFmtId="0" fontId="10" fillId="5" borderId="0" applyAlignment="1" pivotButton="0" quotePrefix="0" xfId="0">
      <alignment horizontal="center" wrapText="1"/>
    </xf>
    <xf numFmtId="0" fontId="52" fillId="0" borderId="0" pivotButton="0" quotePrefix="0" xfId="0"/>
    <xf numFmtId="0" fontId="53" fillId="0" borderId="0" pivotButton="0" quotePrefix="0" xfId="0"/>
    <xf numFmtId="0" fontId="54" fillId="17" borderId="0" applyAlignment="1" pivotButton="0" quotePrefix="0" xfId="0">
      <alignment horizontal="left" vertical="bottom" wrapText="1"/>
    </xf>
    <xf numFmtId="0" fontId="54" fillId="17" borderId="0" applyAlignment="1" pivotButton="0" quotePrefix="0" xfId="0">
      <alignment horizontal="right" vertical="bottom" wrapText="1"/>
    </xf>
    <xf numFmtId="0" fontId="55" fillId="0" borderId="8" applyAlignment="1" pivotButton="0" quotePrefix="0" xfId="0">
      <alignment horizontal="center" vertical="top"/>
    </xf>
    <xf numFmtId="0" fontId="55" fillId="0" borderId="8" applyAlignment="1" pivotButton="0" quotePrefix="0" xfId="0">
      <alignment horizontal="left" vertical="top" wrapText="1"/>
    </xf>
    <xf numFmtId="178" fontId="56" fillId="18" borderId="8" applyAlignment="1" pivotButton="0" quotePrefix="0" xfId="0">
      <alignment horizontal="right" vertical="top"/>
    </xf>
    <xf numFmtId="171" fontId="56" fillId="18" borderId="8" applyAlignment="1" pivotButton="0" quotePrefix="0" xfId="0">
      <alignment horizontal="right" vertical="top"/>
    </xf>
    <xf numFmtId="3" fontId="56" fillId="18" borderId="8" applyAlignment="1" pivotButton="0" quotePrefix="0" xfId="0">
      <alignment horizontal="right" vertical="top"/>
    </xf>
    <xf numFmtId="2" fontId="56" fillId="18" borderId="8" applyAlignment="1" pivotButton="0" quotePrefix="0" xfId="0">
      <alignment horizontal="right" vertical="top"/>
    </xf>
  </cellXfs>
  <cellStyles count="1">
    <cellStyle name="Normal" xfId="0" builtinId="0"/>
  </cellStyles>
  <tableStyles count="0" defaultTableStyle="TableStyleMedium2" defaultPivotStyle="PivotStyleLight16"/>
  <colors>
    <indexedColors>
      <rgbColor rgb="FF000000"/>
      <rgbColor rgb="FFF2F2F2"/>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latin typeface="Arial"/>
              </a:defRPr>
            </a:pPr>
            <a:r>
              <a:rPr lang="en-US"/>
              <a:t>CoreWeave debt by final maturity, pro forma 8/13/2026 ($mm)</a:t>
            </a:r>
          </a:p>
        </c:rich>
      </c:tx>
      <c:overlay val="0"/>
    </c:title>
    <c:autoTitleDeleted val="0"/>
    <c:plotArea>
      <c:layout>
        <c:manualLayout>
          <c:layoutTarget val="inner"/>
          <c:xMode val="edge"/>
          <c:yMode val="edge"/>
          <c:x val="7.0000000000000007E-2"/>
          <c:y val="0.13"/>
          <c:w val="0.91"/>
          <c:h val="0.68"/>
        </c:manualLayout>
      </c:layout>
      <c:barChart>
        <c:barDir val="col"/>
        <c:grouping val="stacked"/>
        <c:varyColors val="1"/>
        <c:ser>
          <c:idx val="0"/>
          <c:order val="0"/>
          <c:tx>
            <c:strRef>
              <c:f>Maturity!$A$14</c:f>
              <c:strCache>
                <c:ptCount val="1"/>
                <c:pt idx="0">
                  <c:v>DDTL</c:v>
                </c:pt>
              </c:strCache>
            </c:strRef>
          </c:tx>
          <c:spPr>
            <a:solidFill>
              <a:srgbClr val="A9B8CC"/>
            </a:solidFill>
            <a:ln>
              <a:noFill/>
              <a:prstDash val="solid"/>
            </a:ln>
          </c:spPr>
          <c:invertIfNegative val="1"/>
          <c:cat>
            <c:numRef>
              <c:f>Maturity!$B$13:$H$13</c:f>
              <c:numCache>
                <c:formatCode>General</c:formatCode>
                <c:ptCount val="7"/>
                <c:pt idx="0">
                  <c:v>2026</c:v>
                </c:pt>
                <c:pt idx="1">
                  <c:v>2027</c:v>
                </c:pt>
                <c:pt idx="2">
                  <c:v>2028</c:v>
                </c:pt>
                <c:pt idx="3">
                  <c:v>2029</c:v>
                </c:pt>
                <c:pt idx="4">
                  <c:v>2030</c:v>
                </c:pt>
                <c:pt idx="5">
                  <c:v>2031</c:v>
                </c:pt>
                <c:pt idx="6">
                  <c:v>2032</c:v>
                </c:pt>
              </c:numCache>
            </c:numRef>
          </c:cat>
          <c:val>
            <c:numRef>
              <c:f>Maturity!$B$14:$H$14</c:f>
              <c:numCache>
                <c:formatCode>General</c:formatCode>
                <c:ptCount val="7"/>
                <c:pt idx="0">
                  <c:v>0</c:v>
                </c:pt>
                <c:pt idx="1">
                  <c:v>0</c:v>
                </c:pt>
                <c:pt idx="2">
                  <c:v>1300</c:v>
                </c:pt>
                <c:pt idx="3">
                  <c:v>0</c:v>
                </c:pt>
                <c:pt idx="4">
                  <c:v>5405</c:v>
                </c:pt>
                <c:pt idx="5">
                  <c:v>5301</c:v>
                </c:pt>
                <c:pt idx="6">
                  <c:v>2837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054C-B449-932D-229EE410B2A3}"/>
            </c:ext>
          </c:extLst>
        </c:ser>
        <c:ser>
          <c:idx val="1"/>
          <c:order val="1"/>
          <c:tx>
            <c:strRef>
              <c:f>Maturity!$A$15</c:f>
              <c:strCache>
                <c:ptCount val="1"/>
                <c:pt idx="0">
                  <c:v>Senior Notes</c:v>
                </c:pt>
              </c:strCache>
            </c:strRef>
          </c:tx>
          <c:spPr>
            <a:solidFill>
              <a:srgbClr val="1F3864"/>
            </a:solidFill>
            <a:ln>
              <a:noFill/>
              <a:prstDash val="solid"/>
            </a:ln>
          </c:spPr>
          <c:invertIfNegative val="1"/>
          <c:cat>
            <c:numRef>
              <c:f>Maturity!$B$13:$H$13</c:f>
              <c:numCache>
                <c:formatCode>General</c:formatCode>
                <c:ptCount val="7"/>
                <c:pt idx="0">
                  <c:v>2026</c:v>
                </c:pt>
                <c:pt idx="1">
                  <c:v>2027</c:v>
                </c:pt>
                <c:pt idx="2">
                  <c:v>2028</c:v>
                </c:pt>
                <c:pt idx="3">
                  <c:v>2029</c:v>
                </c:pt>
                <c:pt idx="4">
                  <c:v>2030</c:v>
                </c:pt>
                <c:pt idx="5">
                  <c:v>2031</c:v>
                </c:pt>
                <c:pt idx="6">
                  <c:v>2032</c:v>
                </c:pt>
              </c:numCache>
            </c:numRef>
          </c:cat>
          <c:val>
            <c:numRef>
              <c:f>Maturity!$B$15:$H$15</c:f>
              <c:numCache>
                <c:formatCode>General</c:formatCode>
                <c:ptCount val="7"/>
                <c:pt idx="0">
                  <c:v>0</c:v>
                </c:pt>
                <c:pt idx="1">
                  <c:v>0</c:v>
                </c:pt>
                <c:pt idx="2">
                  <c:v>0</c:v>
                </c:pt>
                <c:pt idx="3">
                  <c:v>0</c:v>
                </c:pt>
                <c:pt idx="4">
                  <c:v>2000</c:v>
                </c:pt>
                <c:pt idx="5">
                  <c:v>4500</c:v>
                </c:pt>
                <c:pt idx="6">
                  <c:v>3529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054C-B449-932D-229EE410B2A3}"/>
            </c:ext>
          </c:extLst>
        </c:ser>
        <c:ser>
          <c:idx val="2"/>
          <c:order val="2"/>
          <c:tx>
            <c:strRef>
              <c:f>Maturity!$A$16</c:f>
              <c:strCache>
                <c:ptCount val="1"/>
                <c:pt idx="0">
                  <c:v>Convertible</c:v>
                </c:pt>
              </c:strCache>
            </c:strRef>
          </c:tx>
          <c:spPr>
            <a:solidFill>
              <a:srgbClr val="7030A0"/>
            </a:solidFill>
            <a:ln>
              <a:noFill/>
              <a:prstDash val="solid"/>
            </a:ln>
          </c:spPr>
          <c:invertIfNegative val="1"/>
          <c:cat>
            <c:numRef>
              <c:f>Maturity!$B$13:$H$13</c:f>
              <c:numCache>
                <c:formatCode>General</c:formatCode>
                <c:ptCount val="7"/>
                <c:pt idx="0">
                  <c:v>2026</c:v>
                </c:pt>
                <c:pt idx="1">
                  <c:v>2027</c:v>
                </c:pt>
                <c:pt idx="2">
                  <c:v>2028</c:v>
                </c:pt>
                <c:pt idx="3">
                  <c:v>2029</c:v>
                </c:pt>
                <c:pt idx="4">
                  <c:v>2030</c:v>
                </c:pt>
                <c:pt idx="5">
                  <c:v>2031</c:v>
                </c:pt>
                <c:pt idx="6">
                  <c:v>2032</c:v>
                </c:pt>
              </c:numCache>
            </c:numRef>
          </c:cat>
          <c:val>
            <c:numRef>
              <c:f>Maturity!$B$16:$H$16</c:f>
              <c:numCache>
                <c:formatCode>General</c:formatCode>
                <c:ptCount val="7"/>
                <c:pt idx="0">
                  <c:v>0</c:v>
                </c:pt>
                <c:pt idx="1">
                  <c:v>0</c:v>
                </c:pt>
                <c:pt idx="2">
                  <c:v>0</c:v>
                </c:pt>
                <c:pt idx="3">
                  <c:v>0</c:v>
                </c:pt>
                <c:pt idx="4">
                  <c:v>0</c:v>
                </c:pt>
                <c:pt idx="5">
                  <c:v>2588</c:v>
                </c:pt>
                <c:pt idx="6">
                  <c:v>4000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054C-B449-932D-229EE410B2A3}"/>
            </c:ext>
          </c:extLst>
        </c:ser>
        <c:ser>
          <c:idx val="3"/>
          <c:order val="3"/>
          <c:tx>
            <c:strRef>
              <c:f>Maturity!$A$17</c:f>
              <c:strCache>
                <c:ptCount val="1"/>
                <c:pt idx="0">
                  <c:v>Revolver</c:v>
                </c:pt>
              </c:strCache>
            </c:strRef>
          </c:tx>
          <c:spPr>
            <a:solidFill>
              <a:srgbClr val="F4B183"/>
            </a:solidFill>
            <a:ln>
              <a:noFill/>
              <a:prstDash val="solid"/>
            </a:ln>
          </c:spPr>
          <c:invertIfNegative val="1"/>
          <c:cat>
            <c:numRef>
              <c:f>Maturity!$B$13:$H$13</c:f>
              <c:numCache>
                <c:formatCode>General</c:formatCode>
                <c:ptCount val="7"/>
                <c:pt idx="0">
                  <c:v>2026</c:v>
                </c:pt>
                <c:pt idx="1">
                  <c:v>2027</c:v>
                </c:pt>
                <c:pt idx="2">
                  <c:v>2028</c:v>
                </c:pt>
                <c:pt idx="3">
                  <c:v>2029</c:v>
                </c:pt>
                <c:pt idx="4">
                  <c:v>2030</c:v>
                </c:pt>
                <c:pt idx="5">
                  <c:v>2031</c:v>
                </c:pt>
                <c:pt idx="6">
                  <c:v>2032</c:v>
                </c:pt>
              </c:numCache>
            </c:numRef>
          </c:cat>
          <c:val>
            <c:numRef>
              <c:f>Maturity!$B$17:$H$17</c:f>
              <c:numCache>
                <c:formatCode>General</c:formatCode>
                <c:ptCount val="7"/>
                <c:pt idx="0">
                  <c:v>0</c:v>
                </c:pt>
                <c:pt idx="1">
                  <c:v>0</c:v>
                </c:pt>
                <c:pt idx="2">
                  <c:v>0</c:v>
                </c:pt>
                <c:pt idx="3">
                  <c:v>1200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3-054C-B449-932D-229EE410B2A3}"/>
            </c:ext>
          </c:extLst>
        </c:ser>
        <c:ser>
          <c:idx val="4"/>
          <c:order val="4"/>
          <c:tx>
            <c:strRef>
              <c:f>Maturity!$A$18</c:f>
              <c:strCache>
                <c:ptCount val="1"/>
                <c:pt idx="0">
                  <c:v>Vendor Financing</c:v>
                </c:pt>
              </c:strCache>
            </c:strRef>
          </c:tx>
          <c:spPr>
            <a:solidFill>
              <a:srgbClr val="BFBFBF"/>
            </a:solidFill>
            <a:ln>
              <a:noFill/>
              <a:prstDash val="solid"/>
            </a:ln>
          </c:spPr>
          <c:invertIfNegative val="1"/>
          <c:cat>
            <c:numRef>
              <c:f>Maturity!$B$13:$H$13</c:f>
              <c:numCache>
                <c:formatCode>General</c:formatCode>
                <c:ptCount val="7"/>
                <c:pt idx="0">
                  <c:v>2026</c:v>
                </c:pt>
                <c:pt idx="1">
                  <c:v>2027</c:v>
                </c:pt>
                <c:pt idx="2">
                  <c:v>2028</c:v>
                </c:pt>
                <c:pt idx="3">
                  <c:v>2029</c:v>
                </c:pt>
                <c:pt idx="4">
                  <c:v>2030</c:v>
                </c:pt>
                <c:pt idx="5">
                  <c:v>2031</c:v>
                </c:pt>
                <c:pt idx="6">
                  <c:v>2032</c:v>
                </c:pt>
              </c:numCache>
            </c:numRef>
          </c:cat>
          <c:val>
            <c:numRef>
              <c:f>Maturity!$B$18:$H$18</c:f>
              <c:numCache>
                <c:formatCode>General</c:formatCode>
                <c:ptCount val="7"/>
                <c:pt idx="0">
                  <c:v>0</c:v>
                </c:pt>
                <c:pt idx="1">
                  <c:v>0</c:v>
                </c:pt>
                <c:pt idx="2">
                  <c:v>882</c:v>
                </c:pt>
                <c:pt idx="3">
                  <c:v>0</c:v>
                </c:pt>
                <c:pt idx="4">
                  <c:v>4220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4-054C-B449-932D-229EE410B2A3}"/>
            </c:ext>
          </c:extLst>
        </c:ser>
        <c:ser>
          <c:idx val="5"/>
          <c:order val="5"/>
          <c:tx>
            <c:strRef>
              <c:f>Maturity!$A$19</c:f>
              <c:strCache>
                <c:ptCount val="1"/>
                <c:pt idx="0">
                  <c:v>Other</c:v>
                </c:pt>
              </c:strCache>
            </c:strRef>
          </c:tx>
          <c:spPr>
            <a:solidFill>
              <a:srgbClr val="E7E6E6"/>
            </a:solidFill>
            <a:ln>
              <a:noFill/>
              <a:prstDash val="solid"/>
            </a:ln>
          </c:spPr>
          <c:invertIfNegative val="1"/>
          <c:cat>
            <c:numRef>
              <c:f>Maturity!$B$13:$H$13</c:f>
              <c:numCache>
                <c:formatCode>General</c:formatCode>
                <c:ptCount val="7"/>
                <c:pt idx="0">
                  <c:v>2026</c:v>
                </c:pt>
                <c:pt idx="1">
                  <c:v>2027</c:v>
                </c:pt>
                <c:pt idx="2">
                  <c:v>2028</c:v>
                </c:pt>
                <c:pt idx="3">
                  <c:v>2029</c:v>
                </c:pt>
                <c:pt idx="4">
                  <c:v>2030</c:v>
                </c:pt>
                <c:pt idx="5">
                  <c:v>2031</c:v>
                </c:pt>
                <c:pt idx="6">
                  <c:v>2032</c:v>
                </c:pt>
              </c:numCache>
            </c:numRef>
          </c:cat>
          <c:val>
            <c:numRef>
              <c:f>Maturity!$B$19:$H$19</c:f>
              <c:numCache>
                <c:formatCode>General</c:formatCode>
                <c:ptCount val="7"/>
                <c:pt idx="0">
                  <c:v>0</c:v>
                </c:pt>
                <c:pt idx="1">
                  <c:v>0</c:v>
                </c:pt>
                <c:pt idx="2">
                  <c:v>0</c:v>
                </c:pt>
                <c:pt idx="3">
                  <c:v>189</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5-054C-B449-932D-229EE410B2A3}"/>
            </c:ext>
          </c:extLst>
        </c:ser>
        <c:dLbls>
          <c:showLegendKey val="0"/>
          <c:showVal val="0"/>
          <c:showCatName val="0"/>
          <c:showSerName val="0"/>
          <c:showPercent val="0"/>
          <c:showBubbleSize val="0"/>
        </c:dLbls>
        <c:gapWidth val="50"/>
        <c:overlap val="100"/>
        <c:axId val="10"/>
        <c:axId val="100"/>
      </c:barChart>
      <c:lineChart>
        <c:grouping val="standard"/>
        <c:varyColors val="1"/>
        <c:ser>
          <c:idx val="6"/>
          <c:order val="6"/>
          <c:tx>
            <c:strRef>
              <c:f>Maturity!$A$20</c:f>
              <c:strCache>
                <c:ptCount val="1"/>
                <c:pt idx="0">
                  <c:v>Total</c:v>
                </c:pt>
              </c:strCache>
            </c:strRef>
          </c:tx>
          <c:spPr>
            <a:ln>
              <a:noFill/>
              <a:prstDash val="solid"/>
            </a:ln>
          </c:spPr>
          <c:marker>
            <c:symbol val="none"/>
          </c:marker>
          <c:dLbls>
            <c:numFmt formatCode="#,##0;;;" sourceLinked="0"/>
            <c:spPr>
              <a:noFill/>
              <a:ln>
                <a:noFill/>
              </a:ln>
              <a:effectLst/>
            </c:spPr>
            <c:txPr>
              <a:bodyPr/>
              <a:lstStyle/>
              <a:p>
                <a:pPr>
                  <a:defRPr sz="900" b="1">
                    <a:solidFill>
                      <a:srgbClr val="262626"/>
                    </a:solidFill>
                    <a:latin typeface="Arial"/>
                  </a:defRPr>
                </a:pPr>
                <a:endParaRPr lang="en-US"/>
              </a:p>
            </c:txPr>
            <c:dLblPos val="t"/>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val>
            <c:numRef>
              <c:f>Maturity!$B$20:$H$20</c:f>
              <c:numCache>
                <c:formatCode>General</c:formatCode>
                <c:ptCount val="7"/>
                <c:pt idx="0">
                  <c:v>0</c:v>
                </c:pt>
                <c:pt idx="1">
                  <c:v>0</c:v>
                </c:pt>
                <c:pt idx="2">
                  <c:v>2182</c:v>
                </c:pt>
                <c:pt idx="3">
                  <c:v>1389</c:v>
                </c:pt>
                <c:pt idx="4">
                  <c:v>11625</c:v>
                </c:pt>
                <c:pt idx="5">
                  <c:v>12389</c:v>
                </c:pt>
                <c:pt idx="6">
                  <c:v>10366</c:v>
                </c:pt>
              </c:numCache>
            </c:numRef>
          </c:val>
          <c:smooth val="0"/>
          <c:extLst>
            <c:ext xmlns:c16="http://schemas.microsoft.com/office/drawing/2014/chart" uri="{C3380CC4-5D6E-409C-BE32-E72D297353CC}">
              <c16:uniqueId val="{00000006-054C-B449-932D-229EE410B2A3}"/>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0" sourceLinked="0"/>
        <c:majorTickMark val="none"/>
        <c:minorTickMark val="none"/>
        <c:tickLblPos val="nextTo"/>
        <c:txPr>
          <a:bodyPr/>
          <a:lstStyle/>
          <a:p>
            <a:pPr>
              <a:defRPr sz="900" b="0">
                <a:solidFill>
                  <a:srgbClr val="404040"/>
                </a:solidFill>
                <a:latin typeface="Arial"/>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0E0E0"/>
              </a:solidFill>
              <a:prstDash val="solid"/>
            </a:ln>
          </c:spPr>
        </c:majorGridlines>
        <c:numFmt formatCode="#,##0" sourceLinked="0"/>
        <c:majorTickMark val="none"/>
        <c:minorTickMark val="none"/>
        <c:tickLblPos val="nextTo"/>
        <c:spPr>
          <a:ln>
            <a:noFill/>
            <a:prstDash val="solid"/>
          </a:ln>
        </c:spPr>
        <c:txPr>
          <a:bodyPr/>
          <a:lstStyle/>
          <a:p>
            <a:pPr>
              <a:defRPr sz="800" b="0">
                <a:solidFill>
                  <a:srgbClr val="404040"/>
                </a:solidFill>
                <a:latin typeface="Arial"/>
              </a:defRPr>
            </a:pPr>
            <a:endParaRPr lang="en-US"/>
          </a:p>
        </c:txPr>
        <c:crossAx val="10"/>
        <c:crosses val="autoZero"/>
        <c:crossBetween val="between"/>
      </c:valAx>
    </c:plotArea>
    <c:legend>
      <c:legendPos val="b"/>
      <c:legendEntry>
        <c:idx val="6"/>
        <c:delete val="1"/>
      </c:legendEntry>
      <c:overlay val="0"/>
      <c:txPr>
        <a:bodyPr/>
        <a:lstStyle/>
        <a:p>
          <a:pPr>
            <a:defRPr sz="800" b="0">
              <a:solidFill>
                <a:srgbClr val="404040"/>
              </a:solidFill>
              <a:latin typeface="Arial"/>
            </a:defRPr>
          </a:pPr>
          <a:endParaRPr lang="en-US"/>
        </a:p>
      </c:txPr>
    </c:legend>
    <c:plotVisOnly val="1"/>
    <c:dispBlanksAs val="gap"/>
    <c:showDLblsOverMax val="1"/>
  </c:chart>
  <c:printSettings>
    <c:headerFooter/>
    <c:pageMargins b="0.75" l="0.7" r="0.7" t="0.75" header="0.3" footer="0.3"/>
    <c:pageSetup/>
  </c:printSettings>
</c: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664673</colOff>
      <row>24</row>
      <rowOff>35607</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31"/>
  <sheetViews>
    <sheetView showGridLines="0" zoomScaleNormal="100" workbookViewId="0">
      <selection activeCell="A1" sqref="A1"/>
    </sheetView>
  </sheetViews>
  <sheetFormatPr baseColWidth="10" defaultColWidth="8.6640625" defaultRowHeight="15"/>
  <cols>
    <col width="6" customWidth="1" style="186" min="1" max="1"/>
    <col width="30" customWidth="1" style="186" min="2" max="2"/>
    <col width="18" customWidth="1" style="186" min="3" max="3"/>
    <col width="12" customWidth="1" style="186" min="4" max="4"/>
    <col width="26" customWidth="1" style="186" min="5" max="5"/>
    <col width="22" customWidth="1" style="186" min="6" max="6"/>
    <col width="52" customWidth="1" style="186" min="7" max="7"/>
    <col width="26" customWidth="1" style="186" min="8" max="8"/>
    <col width="60" customWidth="1" style="186" min="9" max="9"/>
  </cols>
  <sheetData>
    <row r="1" ht="16.5" customHeight="1" s="186">
      <c r="A1" s="5" t="inlineStr">
        <is>
          <t>CoreWeave, Inc. (CRWV, CIK 0001769628) - Source Filings</t>
        </is>
      </c>
    </row>
    <row r="2">
      <c r="A2" s="6" t="inlineStr">
        <is>
          <t>R1 output. Raw tabs contain ONLY tables copied from these documents. Units: $ in millions unless the tab header says otherwise.</t>
        </is>
      </c>
    </row>
    <row r="3">
      <c r="A3" s="7" t="inlineStr">
        <is>
          <t>ANALYSIS DATE: August 13, 2026. Use only information public on or before that date. Financials as of June 30, 2026 (Q2 2026 10-Q); capitalization pro forma for subsequent events disclosed by then (DDTL 5.5 facility, Aug 2026 revolver draw). Exclude anything later (e.g., Sep 2026 convertible notes, Q3 results).</t>
        </is>
      </c>
    </row>
    <row r="4">
      <c r="A4" s="8" t="inlineStr">
        <is>
          <t>#</t>
        </is>
      </c>
      <c r="B4" s="8" t="inlineStr">
        <is>
          <t>Document</t>
        </is>
      </c>
      <c r="C4" s="8" t="inlineStr">
        <is>
          <t>Form</t>
        </is>
      </c>
      <c r="D4" s="8" t="inlineStr">
        <is>
          <t>Filed</t>
        </is>
      </c>
      <c r="E4" s="8" t="inlineStr">
        <is>
          <t>Period covered</t>
        </is>
      </c>
      <c r="F4" s="8" t="inlineStr">
        <is>
          <t>Accession no.</t>
        </is>
      </c>
      <c r="G4" s="8" t="inlineStr">
        <is>
          <t>Used for</t>
        </is>
      </c>
      <c r="H4" s="8" t="inlineStr">
        <is>
          <t>Raw tabs</t>
        </is>
      </c>
      <c r="I4" s="8" t="inlineStr">
        <is>
          <t>Link</t>
        </is>
      </c>
    </row>
    <row r="5" ht="25" customHeight="1" s="186">
      <c r="A5" s="9" t="n">
        <v>1</v>
      </c>
      <c r="B5" s="9" t="inlineStr">
        <is>
          <t>Quarterly report Q2 2026</t>
        </is>
      </c>
      <c r="C5" s="9" t="inlineStr">
        <is>
          <t>10-Q</t>
        </is>
      </c>
      <c r="D5" s="9" t="inlineStr">
        <is>
          <t>2026-08-12</t>
        </is>
      </c>
      <c r="E5" s="9" t="inlineStr">
        <is>
          <t>Quarter / 6M ended 2026-06-30</t>
        </is>
      </c>
      <c r="F5" s="9" t="inlineStr">
        <is>
          <t>0001769628-26-000366</t>
        </is>
      </c>
      <c r="G5" s="9" t="inlineStr">
        <is>
          <t>Latest GAAP statements; Note 10 debt tables + MD&amp;A liquidity (R4); debt note text (R5)</t>
        </is>
      </c>
      <c r="H5" s="9" t="inlineStr">
        <is>
          <t>10Q_BS, 10Q_IS, 10Q_CF, 10Q_Debt, 10Q_DebtText</t>
        </is>
      </c>
      <c r="I5" s="9" t="inlineStr">
        <is>
          <t>https://www.sec.gov/Archives/edgar/data/1769628/000176962826000366/crwv-20260630.htm</t>
        </is>
      </c>
    </row>
    <row r="6" ht="25" customHeight="1" s="186">
      <c r="A6" s="9" t="n">
        <v>2</v>
      </c>
      <c r="B6" s="9" t="inlineStr">
        <is>
          <t>Annual report FY2025</t>
        </is>
      </c>
      <c r="C6" s="9" t="inlineStr">
        <is>
          <t>10-K</t>
        </is>
      </c>
      <c r="D6" s="9" t="inlineStr">
        <is>
          <t>2026-03-02</t>
        </is>
      </c>
      <c r="E6" s="9" t="inlineStr">
        <is>
          <t>Year ended 2025-12-31</t>
        </is>
      </c>
      <c r="F6" s="9" t="inlineStr">
        <is>
          <t>0001769628-26-000104</t>
        </is>
      </c>
      <c r="G6" s="9" t="inlineStr">
        <is>
          <t>Full-year GAAP statements (for LTM = FY25 + 6M26 - 6M25); full business description; full debt note</t>
        </is>
      </c>
      <c r="H6" s="9" t="inlineStr">
        <is>
          <t>10K_BS, 10K_IS, 10K_CF, 10K_DebtText</t>
        </is>
      </c>
      <c r="I6" s="9" t="inlineStr">
        <is>
          <t>https://www.sec.gov/Archives/edgar/data/1769628/000176962826000104/0001769628-26-000104-index.htm</t>
        </is>
      </c>
    </row>
    <row r="7" ht="25" customHeight="1" s="186">
      <c r="A7" s="9" t="n">
        <v>3</v>
      </c>
      <c r="B7" s="9" t="inlineStr">
        <is>
          <t>Q2 2026 earnings press release</t>
        </is>
      </c>
      <c r="C7" s="9" t="inlineStr">
        <is>
          <t>8-K Item 2.02, Ex.99.1</t>
        </is>
      </c>
      <c r="D7" s="9" t="inlineStr">
        <is>
          <t>2026-08-11</t>
        </is>
      </c>
      <c r="E7" s="9" t="inlineStr">
        <is>
          <t>Quarter / 6M ended 2026-06-30</t>
        </is>
      </c>
      <c r="F7" s="9" t="inlineStr">
        <is>
          <t>0001769628-26-000362</t>
        </is>
      </c>
      <c r="G7" s="9" t="inlineStr">
        <is>
          <t>Non-GAAP reconciliations (Adj. EBITDA etc.) - not in the 10-Q</t>
        </is>
      </c>
      <c r="H7" s="9" t="inlineStr">
        <is>
          <t>PR_Q2-26</t>
        </is>
      </c>
      <c r="I7" s="9" t="inlineStr">
        <is>
          <t>https://www.sec.gov/Archives/edgar/data/1769628/000176962826000362/coreweave2q26earningspress.htm</t>
        </is>
      </c>
    </row>
    <row r="8" ht="25" customHeight="1" s="186">
      <c r="A8" s="9" t="n">
        <v>4</v>
      </c>
      <c r="B8" s="9" t="inlineStr">
        <is>
          <t>Q4 2025 earnings press release</t>
        </is>
      </c>
      <c r="C8" s="9" t="inlineStr">
        <is>
          <t>8-K Item 2.02, Ex.99.1</t>
        </is>
      </c>
      <c r="D8" s="9" t="inlineStr">
        <is>
          <t>2026-02-26</t>
        </is>
      </c>
      <c r="E8" s="9" t="inlineStr">
        <is>
          <t>Quarter / year ended 2025-12-31</t>
        </is>
      </c>
      <c r="F8" s="9" t="inlineStr">
        <is>
          <t>0001769628-26-000094</t>
        </is>
      </c>
      <c r="G8" s="9" t="inlineStr">
        <is>
          <t>FY2025 non-GAAP reconciliations (for LTM Adj. EBITDA)</t>
        </is>
      </c>
      <c r="H8" s="9" t="inlineStr">
        <is>
          <t>PR_Q4-25</t>
        </is>
      </c>
      <c r="I8" s="9" t="inlineStr">
        <is>
          <t>https://www.sec.gov/Archives/edgar/data/1769628/000176962826000094/coreweave4q25earningspress.htm</t>
        </is>
      </c>
    </row>
    <row r="9" ht="37.5" customHeight="1" s="186">
      <c r="A9" s="9" t="n">
        <v>5</v>
      </c>
      <c r="B9" s="9" t="inlineStr">
        <is>
          <t>DDTL 5.5 facility closing</t>
        </is>
      </c>
      <c r="C9" s="9" t="inlineStr">
        <is>
          <t>8-K Items 1.01, 2.03, 7.01; Ex.10.2, Ex.99.1</t>
        </is>
      </c>
      <c r="D9" s="9" t="inlineStr">
        <is>
          <t>2026-08-10</t>
        </is>
      </c>
      <c r="E9" s="9" t="inlineStr">
        <is>
          <t>Event date 2026-08-07</t>
        </is>
      </c>
      <c r="F9" s="9" t="inlineStr">
        <is>
          <t>0001769628-26-000357</t>
        </is>
      </c>
      <c r="G9" s="9" t="inlineStr">
        <is>
          <t>Subsequent event: new $2.6bn facility (with 10-Q Note 16) - pro forma capitalization at 2026-08-13</t>
        </is>
      </c>
      <c r="H9" s="9" t="inlineStr">
        <is>
          <t>Subsequent</t>
        </is>
      </c>
      <c r="I9" s="9" t="inlineStr">
        <is>
          <t>https://www.sec.gov/Archives/edgar/data/1769628/000176962826000357/0001769628-26-000357-index.htm</t>
        </is>
      </c>
    </row>
    <row r="10" ht="25" customHeight="1" s="186">
      <c r="A10" s="9" t="n">
        <v>6</v>
      </c>
      <c r="B10" s="9" t="inlineStr">
        <is>
          <t>Q3 and FY 2026 Outlook Presentation</t>
        </is>
      </c>
      <c r="C10" s="9" t="inlineStr">
        <is>
          <t>IR website PDF (not an SEC filing)</t>
        </is>
      </c>
      <c r="D10" s="9" t="inlineStr">
        <is>
          <t>2026-08-11</t>
        </is>
      </c>
      <c r="E10" s="9" t="inlineStr">
        <is>
          <t>Guidance for Q3'26 and FY'26</t>
        </is>
      </c>
      <c r="F10" s="9" t="inlineStr">
        <is>
          <t>n/a</t>
        </is>
      </c>
      <c r="G10" s="9" t="inlineStr">
        <is>
          <t>Company guidance: revenue, adj. operating income, interest expense, capex, exit ARR (Funding Need)</t>
        </is>
      </c>
      <c r="H10" s="9" t="inlineStr">
        <is>
          <t>Guidance (A)</t>
        </is>
      </c>
      <c r="I10" s="9" t="inlineStr">
        <is>
          <t>https://s205.q4cdn.com/133937190/files/doc_financials/2026/q2/CoreWeave-Q2-26-Earnings-Outlook-Presentation.pdf</t>
        </is>
      </c>
    </row>
    <row r="11" ht="25" customHeight="1" s="186">
      <c r="A11" s="9" t="n">
        <v>7</v>
      </c>
      <c r="B11" s="9" t="inlineStr">
        <is>
          <t>Q2'26 Earnings Presentation</t>
        </is>
      </c>
      <c r="C11" s="9" t="inlineStr">
        <is>
          <t>IR website PDF (not an SEC filing)</t>
        </is>
      </c>
      <c r="D11" s="9" t="inlineStr">
        <is>
          <t>2026-08-11</t>
        </is>
      </c>
      <c r="E11" s="9" t="inlineStr">
        <is>
          <t>Quarter / 6M ended 2026-06-30</t>
        </is>
      </c>
      <c r="F11" s="9" t="inlineStr">
        <is>
          <t>n/a</t>
        </is>
      </c>
      <c r="G11" s="9" t="inlineStr">
        <is>
          <t>Company definition of capex and its calculation (gross PP&amp;E increase less change in CIP) - the basis of the capex guidance</t>
        </is>
      </c>
      <c r="H11" s="9" t="inlineStr">
        <is>
          <t>Guidance (B)</t>
        </is>
      </c>
      <c r="I11" s="9" t="inlineStr">
        <is>
          <t>https://s205.q4cdn.com/133937190/files/doc_financials/2026/q2/CoreWeave-Q2-26-Earnings-Presentation.pdf</t>
        </is>
      </c>
    </row>
    <row r="12" ht="37.5" customHeight="1" s="186">
      <c r="A12" s="9" t="n">
        <v>8</v>
      </c>
      <c r="B12" s="9" t="inlineStr">
        <is>
          <t>Q2 2026 earnings call transcript</t>
        </is>
      </c>
      <c r="C12" s="9" t="inlineStr">
        <is>
          <t>IR website PDF (FactSet corrected transcript)</t>
        </is>
      </c>
      <c r="D12" s="9" t="inlineStr">
        <is>
          <t>2026-08-11 (call date)</t>
        </is>
      </c>
      <c r="E12" s="9" t="inlineStr">
        <is>
          <t>Quarter ended 2026-06-30</t>
        </is>
      </c>
      <c r="F12" s="9" t="inlineStr">
        <is>
          <t>n/a</t>
        </is>
      </c>
      <c r="G12" s="9" t="inlineStr">
        <is>
          <t>CFO remarks on capex, liquidity, guidance; contracted power and 2030 target</t>
        </is>
      </c>
      <c r="H12" s="9" t="inlineStr">
        <is>
          <t>Guidance (C)</t>
        </is>
      </c>
      <c r="I12" s="9" t="inlineStr">
        <is>
          <t>https://s205.q4cdn.com/133937190/files/doc_financials/2026/q2/CRWV-US-CORRECTED-TRANSCRIPT-CoreWeave-Q2-2026-Earnings-Call-11August2026.pdf</t>
        </is>
      </c>
    </row>
    <row r="13">
      <c r="A13" s="11" t="n"/>
    </row>
    <row r="14">
      <c r="A14" s="10" t="inlineStr">
        <is>
          <t>Progress</t>
        </is>
      </c>
    </row>
    <row r="15">
      <c r="A15" s="11" t="inlineStr">
        <is>
          <t>R1-R3 done: this list, 10Q_* and 10K_* statements, PR_* non-GAAP tables.   R4 done: 10Q_Debt (Note 10 tables from R32 + MD&amp;A liquidity table).</t>
        </is>
      </c>
    </row>
    <row r="16">
      <c r="A16" s="11" t="inlineStr">
        <is>
          <t>R5 done: 10Q_DebtText (Q2 10-Q Note 10 full text, R16) and 10K_DebtText (FY25 10-K Note 10 full text, R18 - terms of older debt the 10-Q does not repeat).</t>
        </is>
      </c>
    </row>
    <row r="17">
      <c r="A17" s="11" t="inlineStr">
        <is>
          <t>R6 done: Subsequent (10-Q Note 16 + DDTL 5.5 8-K body, press release, parent guarantee s.2.1). Sep 2026 convertible notes excluded (after analysis date). Raw is complete.</t>
        </is>
      </c>
    </row>
    <row r="18">
      <c r="A18" s="11" t="inlineStr">
        <is>
          <t>R7 done (added after Step 1, for Step 2 Funding Need): Guidance - Outlook Presentation slide 3, Earnings Presentation capex definition and calculation (slides 8, 14, 16), CFO guidance remarks from the call transcript. Company material, not SEC filings.</t>
        </is>
      </c>
    </row>
    <row r="19">
      <c r="A19" s="11" t="n"/>
    </row>
    <row r="20">
      <c r="A20" s="10" t="inlineStr">
        <is>
          <t>How these were found on EDGAR</t>
        </is>
      </c>
    </row>
    <row r="21">
      <c r="A21" s="11" t="inlineStr">
        <is>
          <t>1. sec.gov &gt; EDGAR full-text / company search &gt; 'CoreWeave' &gt; company page (CIK 0001769628).</t>
        </is>
      </c>
    </row>
    <row r="22">
      <c r="A22" s="11" t="inlineStr">
        <is>
          <t>2. Filter Filing Type = 10-Q / 10-K: take the latest of each. Filter = 8-K: earnings releases are the 8-Ks with Item 2.02 (Results of Operations).</t>
        </is>
      </c>
    </row>
    <row r="23">
      <c r="A23" s="11" t="inlineStr">
        <is>
          <t>3. Open a filing's index page &gt; 'Interactive Data' (R pages): each statement is its own page (R2 = balance sheet, R4 = income statement, R6 = cash flow in this 10-Q). Financial_Report.xlsx on the same page has all of them in Excel.</t>
        </is>
      </c>
    </row>
    <row r="24">
      <c r="A24" s="11" t="inlineStr">
        <is>
          <t>4. Press releases have no R pages: open Ex.99.1 and copy the reconciliation tables at the end.</t>
        </is>
      </c>
    </row>
    <row r="25">
      <c r="A25" s="11" t="n"/>
    </row>
    <row r="26">
      <c r="A26" s="10" t="inlineStr">
        <is>
          <t>Copy rules used (what was and was NOT changed)</t>
        </is>
      </c>
    </row>
    <row r="27">
      <c r="A27" s="11" t="inlineStr">
        <is>
          <t>Kept exactly: every row label, row order, column headers, footnote markers [1], section/abstract rows, units shown in each table title.</t>
        </is>
      </c>
    </row>
    <row r="28">
      <c r="A28" s="11" t="inlineStr">
        <is>
          <t>Changed only the display format so Excel can calculate: '$' removed, '(1,234)' stored as -1234, '—' stored as 0 (still displays as —), merged header cells re-created.</t>
        </is>
      </c>
    </row>
    <row r="29">
      <c r="A29" s="11" t="inlineStr">
        <is>
          <t>Press releases: the HTML puts '$' and '%' in separate cells; those symbol-only cells were dropped. Margin rows are % values as printed (e.g. 59 = 59%).</t>
        </is>
      </c>
    </row>
    <row r="30">
      <c r="A30" s="11" t="inlineStr">
        <is>
          <t>Nothing renamed, combined, re-ordered or calculated inside the copied tables. Check rows at the bottom of each tab (yellow) and the Cross_Checks tab are ours.</t>
        </is>
      </c>
    </row>
    <row r="31">
      <c r="A31" s="11" t="inlineStr">
        <is>
          <t>Verification: the copied text of all 6 GAAP tables and 6 press-release tables was fingerprinted (SHA-256) against the SEC pages and matched exactly.</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64"/>
  <sheetViews>
    <sheetView showGridLines="0" zoomScaleNormal="100" workbookViewId="0">
      <pane xSplit="1" ySplit="6" topLeftCell="B7" activePane="bottomRight" state="frozen"/>
      <selection pane="topRight" activeCell="B1" sqref="B1"/>
      <selection pane="bottomLeft" activeCell="A7" sqref="A7"/>
      <selection pane="bottomRight" activeCell="A1" sqref="A1"/>
    </sheetView>
  </sheetViews>
  <sheetFormatPr baseColWidth="10" defaultColWidth="8.6640625" defaultRowHeight="15"/>
  <cols>
    <col width="58" customWidth="1" style="186" min="1" max="1"/>
    <col width="14" customWidth="1" style="186" min="2" max="3"/>
  </cols>
  <sheetData>
    <row r="1" ht="16.5" customHeight="1" s="186">
      <c r="A1" s="5" t="inlineStr">
        <is>
          <t>10-Q Q2 2026 - Condensed Consolidated Balance Sheets</t>
        </is>
      </c>
    </row>
    <row r="2">
      <c r="A2" s="6" t="inlineStr">
        <is>
          <t>Source: 10-Q filed 2026-08-12, R2.htm</t>
        </is>
      </c>
    </row>
    <row r="3">
      <c r="A3" s="6" t="inlineStr">
        <is>
          <t>https://www.sec.gov/Archives/edgar/data/1769628/000176962826000366/R2.htm</t>
        </is>
      </c>
    </row>
    <row r="4">
      <c r="A4" s="6" t="inlineStr">
        <is>
          <t>Copied as shown on the SEC R page.</t>
        </is>
      </c>
    </row>
    <row r="6" ht="26" customHeight="1" s="186">
      <c r="A6" s="189" t="inlineStr">
        <is>
          <t>CONDENSED CONSOLIDATED BALANCE SHEETS - USD ($) $ in Millions</t>
        </is>
      </c>
      <c r="B6" s="185" t="inlineStr">
        <is>
          <t>Jun. 30, 2026</t>
        </is>
      </c>
      <c r="C6" s="185" t="inlineStr">
        <is>
          <t>Dec. 31, 2025</t>
        </is>
      </c>
    </row>
    <row r="7">
      <c r="A7" s="11" t="inlineStr">
        <is>
          <t>Current assets</t>
        </is>
      </c>
    </row>
    <row r="8">
      <c r="A8" s="11" t="inlineStr">
        <is>
          <t>Cash and cash equivalents</t>
        </is>
      </c>
      <c r="B8" s="12" t="n">
        <v>5524</v>
      </c>
      <c r="C8" s="12" t="n">
        <v>3127</v>
      </c>
    </row>
    <row r="9">
      <c r="A9" s="11" t="inlineStr">
        <is>
          <t>Restricted cash and cash equivalents, current</t>
        </is>
      </c>
      <c r="B9" s="12" t="n">
        <v>873</v>
      </c>
      <c r="C9" s="12" t="n">
        <v>819</v>
      </c>
    </row>
    <row r="10">
      <c r="A10" s="11" t="inlineStr">
        <is>
          <t>Marketable securities</t>
        </is>
      </c>
      <c r="B10" s="12" t="n">
        <v>15</v>
      </c>
      <c r="C10" s="12" t="n">
        <v>34</v>
      </c>
    </row>
    <row r="11">
      <c r="A11" s="11" t="inlineStr">
        <is>
          <t>Accounts receivable, net</t>
        </is>
      </c>
      <c r="B11" s="12" t="n">
        <v>2541</v>
      </c>
      <c r="C11" s="12" t="n">
        <v>3169</v>
      </c>
    </row>
    <row r="12">
      <c r="A12" s="11" t="inlineStr">
        <is>
          <t>Prepaid expenses and other current assets</t>
        </is>
      </c>
      <c r="B12" s="12" t="n">
        <v>567</v>
      </c>
      <c r="C12" s="12" t="n">
        <v>339</v>
      </c>
    </row>
    <row r="13">
      <c r="A13" s="11" t="inlineStr">
        <is>
          <t>Total current assets</t>
        </is>
      </c>
      <c r="B13" s="12" t="n">
        <v>9520</v>
      </c>
      <c r="C13" s="12" t="n">
        <v>7488</v>
      </c>
    </row>
    <row r="14">
      <c r="A14" s="11" t="inlineStr">
        <is>
          <t>Restricted cash and cash equivalents, non-current</t>
        </is>
      </c>
      <c r="B14" s="12" t="n">
        <v>507</v>
      </c>
      <c r="C14" s="12" t="n">
        <v>184</v>
      </c>
    </row>
    <row r="15">
      <c r="A15" s="11" t="inlineStr">
        <is>
          <t>Property and equipment, net</t>
        </is>
      </c>
      <c r="B15" s="12" t="n">
        <v>46736</v>
      </c>
      <c r="C15" s="12" t="n">
        <v>30557</v>
      </c>
    </row>
    <row r="16">
      <c r="A16" s="11" t="inlineStr">
        <is>
          <t>Operating lease right-of-use assets</t>
        </is>
      </c>
      <c r="B16" s="12" t="n">
        <v>16595</v>
      </c>
      <c r="C16" s="12" t="n">
        <v>8231</v>
      </c>
    </row>
    <row r="17">
      <c r="A17" s="11" t="inlineStr">
        <is>
          <t>Intangible assets, net</t>
        </is>
      </c>
      <c r="B17" s="12" t="n">
        <v>245</v>
      </c>
      <c r="C17" s="12" t="n">
        <v>235</v>
      </c>
    </row>
    <row r="18">
      <c r="A18" s="11" t="inlineStr">
        <is>
          <t>Goodwill</t>
        </is>
      </c>
      <c r="B18" s="12" t="n">
        <v>1101</v>
      </c>
      <c r="C18" s="12" t="n">
        <v>1101</v>
      </c>
    </row>
    <row r="19">
      <c r="A19" s="11" t="inlineStr">
        <is>
          <t>Other non-current assets</t>
        </is>
      </c>
      <c r="B19" s="12" t="n">
        <v>2366</v>
      </c>
      <c r="C19" s="12" t="n">
        <v>1506</v>
      </c>
    </row>
    <row r="20">
      <c r="A20" s="11" t="inlineStr">
        <is>
          <t>Total assets</t>
        </is>
      </c>
      <c r="B20" s="12" t="n">
        <v>77070</v>
      </c>
      <c r="C20" s="12" t="n">
        <v>49302</v>
      </c>
    </row>
    <row r="21">
      <c r="A21" s="11" t="inlineStr">
        <is>
          <t>Current liabilities</t>
        </is>
      </c>
    </row>
    <row r="22">
      <c r="A22" s="11" t="inlineStr">
        <is>
          <t>Accounts payable</t>
        </is>
      </c>
      <c r="B22" s="12" t="n">
        <v>3633</v>
      </c>
      <c r="C22" s="12" t="n">
        <v>1623</v>
      </c>
    </row>
    <row r="23">
      <c r="A23" s="11" t="inlineStr">
        <is>
          <t>Accrued liabilities</t>
        </is>
      </c>
      <c r="B23" s="12" t="n">
        <v>6424</v>
      </c>
      <c r="C23" s="12" t="n">
        <v>5773</v>
      </c>
    </row>
    <row r="24">
      <c r="A24" s="11" t="inlineStr">
        <is>
          <t>Recourse debt, current</t>
        </is>
      </c>
      <c r="B24" s="12" t="n">
        <v>6235</v>
      </c>
      <c r="C24" s="12" t="n">
        <v>6118</v>
      </c>
    </row>
    <row r="25">
      <c r="A25" s="11" t="inlineStr">
        <is>
          <t>Non-recourse debt, current</t>
        </is>
      </c>
      <c r="B25" s="12" t="n">
        <v>1278</v>
      </c>
      <c r="C25" s="12" t="n">
        <v>590</v>
      </c>
    </row>
    <row r="26">
      <c r="A26" s="11" t="inlineStr">
        <is>
          <t>Deferred revenue, current</t>
        </is>
      </c>
      <c r="B26" s="12" t="n">
        <v>2686</v>
      </c>
      <c r="C26" s="12" t="n">
        <v>1709</v>
      </c>
    </row>
    <row r="27">
      <c r="A27" s="11" t="inlineStr">
        <is>
          <t>Operating lease liabilities, current</t>
        </is>
      </c>
      <c r="B27" s="12" t="n">
        <v>584</v>
      </c>
      <c r="C27" s="12" t="n">
        <v>427</v>
      </c>
    </row>
    <row r="28">
      <c r="A28" s="11" t="inlineStr">
        <is>
          <t>Finance lease liabilities, current</t>
        </is>
      </c>
      <c r="B28" s="12" t="n">
        <v>7</v>
      </c>
      <c r="C28" s="12" t="n">
        <v>38</v>
      </c>
    </row>
    <row r="29">
      <c r="A29" s="11" t="inlineStr">
        <is>
          <t>Other current liabilities</t>
        </is>
      </c>
      <c r="B29" s="12" t="n">
        <v>70</v>
      </c>
      <c r="C29" s="12" t="n">
        <v>162</v>
      </c>
    </row>
    <row r="30">
      <c r="A30" s="11" t="inlineStr">
        <is>
          <t>Total current liabilities</t>
        </is>
      </c>
      <c r="B30" s="12" t="n">
        <v>20917</v>
      </c>
      <c r="C30" s="12" t="n">
        <v>16440</v>
      </c>
    </row>
    <row r="31">
      <c r="A31" s="11" t="inlineStr">
        <is>
          <t>Recourse debt, non-current</t>
        </is>
      </c>
      <c r="B31" s="12" t="n">
        <v>25170</v>
      </c>
      <c r="C31" s="12" t="n">
        <v>14608</v>
      </c>
    </row>
    <row r="32">
      <c r="A32" s="11" t="inlineStr">
        <is>
          <t>Non-recourse debt, non-current</t>
        </is>
      </c>
      <c r="B32" s="12" t="n">
        <v>2385</v>
      </c>
      <c r="C32" s="12" t="n">
        <v>57</v>
      </c>
    </row>
    <row r="33">
      <c r="A33" s="11" t="inlineStr">
        <is>
          <t>Deferred revenue, non-current</t>
        </is>
      </c>
      <c r="B33" s="12" t="n">
        <v>7006</v>
      </c>
      <c r="C33" s="12" t="n">
        <v>6476</v>
      </c>
    </row>
    <row r="34">
      <c r="A34" s="11" t="inlineStr">
        <is>
          <t>Operating lease liabilities, non-current</t>
        </is>
      </c>
      <c r="B34" s="12" t="n">
        <v>15735</v>
      </c>
      <c r="C34" s="12" t="n">
        <v>7768</v>
      </c>
    </row>
    <row r="35">
      <c r="A35" s="11" t="inlineStr">
        <is>
          <t>Finance lease liabilities, non-current</t>
        </is>
      </c>
      <c r="B35" s="12" t="n">
        <v>214</v>
      </c>
      <c r="C35" s="12" t="n">
        <v>216</v>
      </c>
    </row>
    <row r="36">
      <c r="A36" s="11" t="inlineStr">
        <is>
          <t>Deferred tax liabilities, non-current</t>
        </is>
      </c>
      <c r="B36" s="12" t="n">
        <v>256</v>
      </c>
      <c r="C36" s="12" t="n">
        <v>115</v>
      </c>
    </row>
    <row r="37">
      <c r="A37" s="11" t="inlineStr">
        <is>
          <t>Other non-current liabilities</t>
        </is>
      </c>
      <c r="B37" s="12" t="n">
        <v>363</v>
      </c>
      <c r="C37" s="12" t="n">
        <v>287</v>
      </c>
    </row>
    <row r="38">
      <c r="A38" s="11" t="inlineStr">
        <is>
          <t>Total liabilities</t>
        </is>
      </c>
      <c r="B38" s="12" t="n">
        <v>72046</v>
      </c>
      <c r="C38" s="12" t="n">
        <v>45967</v>
      </c>
    </row>
    <row r="39">
      <c r="A39" s="11" t="inlineStr">
        <is>
          <t>Commitments and contingencies (Note 9)</t>
        </is>
      </c>
    </row>
    <row r="40">
      <c r="A40" s="11" t="inlineStr">
        <is>
          <t>Stockholders' equity</t>
        </is>
      </c>
    </row>
    <row r="41">
      <c r="A41" s="11" t="inlineStr">
        <is>
          <t>Preferred stock</t>
        </is>
      </c>
      <c r="B41" s="12" t="n">
        <v>0</v>
      </c>
      <c r="C41" s="12" t="n">
        <v>0</v>
      </c>
    </row>
    <row r="42">
      <c r="A42" s="11" t="inlineStr">
        <is>
          <t>Treasury stock, at cost</t>
        </is>
      </c>
      <c r="B42" s="12" t="n">
        <v>-34</v>
      </c>
      <c r="C42" s="12" t="n">
        <v>-34</v>
      </c>
    </row>
    <row r="43">
      <c r="A43" s="11" t="inlineStr">
        <is>
          <t>Additional paid-in capital</t>
        </is>
      </c>
      <c r="B43" s="12" t="n">
        <v>9085</v>
      </c>
      <c r="C43" s="12" t="n">
        <v>6012</v>
      </c>
    </row>
    <row r="44">
      <c r="A44" s="11" t="inlineStr">
        <is>
          <t>Accumulated other comprehensive loss</t>
        </is>
      </c>
      <c r="B44" s="12" t="n">
        <v>-18</v>
      </c>
      <c r="C44" s="12" t="n">
        <v>0</v>
      </c>
    </row>
    <row r="45">
      <c r="A45" s="11" t="inlineStr">
        <is>
          <t>Accumulated deficit</t>
        </is>
      </c>
      <c r="B45" s="12" t="n">
        <v>-4009</v>
      </c>
      <c r="C45" s="12" t="n">
        <v>-2643</v>
      </c>
    </row>
    <row r="46">
      <c r="A46" s="11" t="inlineStr">
        <is>
          <t>Total stockholders' equity</t>
        </is>
      </c>
      <c r="B46" s="12" t="n">
        <v>5024</v>
      </c>
      <c r="C46" s="12" t="n">
        <v>3335</v>
      </c>
    </row>
    <row r="47">
      <c r="A47" s="11" t="inlineStr">
        <is>
          <t>Total liabilities and stockholders' equity</t>
        </is>
      </c>
      <c r="B47" s="12" t="n">
        <v>77070</v>
      </c>
      <c r="C47" s="12" t="n">
        <v>49302</v>
      </c>
    </row>
    <row r="48">
      <c r="A48" s="11" t="inlineStr">
        <is>
          <t>Common Class A</t>
        </is>
      </c>
    </row>
    <row r="49">
      <c r="A49" s="11" t="inlineStr">
        <is>
          <t>Stockholders' equity</t>
        </is>
      </c>
    </row>
    <row r="50">
      <c r="A50" s="11" t="inlineStr">
        <is>
          <t>Common stock</t>
        </is>
      </c>
      <c r="B50" s="12" t="n">
        <v>0</v>
      </c>
      <c r="C50" s="12" t="n">
        <v>0</v>
      </c>
    </row>
    <row r="51">
      <c r="A51" s="11" t="inlineStr">
        <is>
          <t>Common Class B</t>
        </is>
      </c>
    </row>
    <row r="52">
      <c r="A52" s="11" t="inlineStr">
        <is>
          <t>Stockholders' equity</t>
        </is>
      </c>
    </row>
    <row r="53">
      <c r="A53" s="11" t="inlineStr">
        <is>
          <t>Common stock</t>
        </is>
      </c>
      <c r="B53" s="12" t="n">
        <v>0</v>
      </c>
      <c r="C53" s="12" t="n">
        <v>0</v>
      </c>
    </row>
    <row r="54">
      <c r="A54" s="11" t="inlineStr">
        <is>
          <t>Common Class C</t>
        </is>
      </c>
    </row>
    <row r="55">
      <c r="A55" s="11" t="inlineStr">
        <is>
          <t>Stockholders' equity</t>
        </is>
      </c>
    </row>
    <row r="56">
      <c r="A56" s="11" t="inlineStr">
        <is>
          <t>Common stock</t>
        </is>
      </c>
      <c r="B56" s="12" t="n">
        <v>0</v>
      </c>
      <c r="C56" s="12" t="n">
        <v>0</v>
      </c>
    </row>
    <row r="58">
      <c r="A58" s="13" t="inlineStr">
        <is>
          <t>Checks (added by us, NOT part of the SEC table) - all should be 0</t>
        </is>
      </c>
      <c r="B58" s="14" t="n"/>
      <c r="C58" s="14" t="n"/>
    </row>
    <row r="59">
      <c r="A59" s="11" t="inlineStr">
        <is>
          <t>Current assets</t>
        </is>
      </c>
      <c r="B59" s="15">
        <f>SUM(B8:B12)-B13</f>
        <v/>
      </c>
      <c r="C59" s="15">
        <f>SUM(C8:C12)-C13</f>
        <v/>
      </c>
    </row>
    <row r="60">
      <c r="A60" s="11" t="inlineStr">
        <is>
          <t>Total assets</t>
        </is>
      </c>
      <c r="B60" s="15">
        <f>B13+SUM(B14:B19)-B20</f>
        <v/>
      </c>
      <c r="C60" s="15">
        <f>C13+SUM(C14:C19)-C20</f>
        <v/>
      </c>
    </row>
    <row r="61">
      <c r="A61" s="11" t="inlineStr">
        <is>
          <t>Current liabilities</t>
        </is>
      </c>
      <c r="B61" s="15">
        <f>SUM(B22:B29)-B30</f>
        <v/>
      </c>
      <c r="C61" s="15">
        <f>SUM(C22:C29)-C30</f>
        <v/>
      </c>
    </row>
    <row r="62">
      <c r="A62" s="11" t="inlineStr">
        <is>
          <t>Total liabilities</t>
        </is>
      </c>
      <c r="B62" s="15">
        <f>B30+SUM(B31:B37)-B38</f>
        <v/>
      </c>
      <c r="C62" s="15">
        <f>C30+SUM(C31:C37)-C38</f>
        <v/>
      </c>
    </row>
    <row r="63">
      <c r="A63" s="11" t="inlineStr">
        <is>
          <t>Stockholders' equity</t>
        </is>
      </c>
      <c r="B63" s="15">
        <f>SUM(B41:B45)-B46</f>
        <v/>
      </c>
      <c r="C63" s="15">
        <f>SUM(C41:C45)-C46</f>
        <v/>
      </c>
    </row>
    <row r="64">
      <c r="A64" s="11" t="inlineStr">
        <is>
          <t>Assets = liabilities + equity</t>
        </is>
      </c>
      <c r="B64" s="15">
        <f>B20-B38-B46</f>
        <v/>
      </c>
      <c r="C64" s="15">
        <f>C20-C38-C46</f>
        <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37"/>
  <sheetViews>
    <sheetView showGridLines="0" zoomScaleNormal="100" workbookViewId="0">
      <pane xSplit="1" ySplit="7" topLeftCell="B8" activePane="bottomRight" state="frozen"/>
      <selection pane="topRight" activeCell="B1" sqref="B1"/>
      <selection pane="bottomLeft" activeCell="A8" sqref="A8"/>
      <selection pane="bottomRight" activeCell="A1" sqref="A1"/>
    </sheetView>
  </sheetViews>
  <sheetFormatPr baseColWidth="10" defaultColWidth="8.6640625" defaultRowHeight="15"/>
  <cols>
    <col width="62" customWidth="1" style="186" min="1" max="1"/>
    <col width="13" customWidth="1" style="186" min="2" max="5"/>
  </cols>
  <sheetData>
    <row r="1" ht="16.5" customHeight="1" s="186">
      <c r="A1" s="5" t="inlineStr">
        <is>
          <t>10-Q Q2 2026 - Condensed Consolidated Statements of Operations</t>
        </is>
      </c>
    </row>
    <row r="2">
      <c r="A2" s="6" t="inlineStr">
        <is>
          <t>Source: 10-Q filed 2026-08-12, R4.htm</t>
        </is>
      </c>
    </row>
    <row r="3">
      <c r="A3" s="6" t="inlineStr">
        <is>
          <t>https://www.sec.gov/Archives/edgar/data/1769628/000176962826000366/R4.htm</t>
        </is>
      </c>
    </row>
    <row r="4">
      <c r="A4" s="6" t="inlineStr">
        <is>
          <t>Copied as shown on the SEC R page.</t>
        </is>
      </c>
    </row>
    <row r="6" ht="24" customHeight="1" s="186">
      <c r="A6" s="189" t="inlineStr">
        <is>
          <t>CONDENSED CONSOLIDATED STATEMENTS OF OPERATIONS AND COMPREHENSIVE LOSS - USD ($) shares in Millions, $ in Millions</t>
        </is>
      </c>
      <c r="B6" s="185" t="inlineStr">
        <is>
          <t>3 Months Ended</t>
        </is>
      </c>
      <c r="D6" s="185" t="inlineStr">
        <is>
          <t>6 Months Ended</t>
        </is>
      </c>
    </row>
    <row r="7">
      <c r="B7" s="185" t="inlineStr">
        <is>
          <t>Jun. 30, 2026</t>
        </is>
      </c>
      <c r="C7" s="185" t="inlineStr">
        <is>
          <t>Jun. 30, 2025</t>
        </is>
      </c>
      <c r="D7" s="185" t="inlineStr">
        <is>
          <t>Jun. 30, 2026</t>
        </is>
      </c>
      <c r="E7" s="185" t="inlineStr">
        <is>
          <t>Jun. 30, 2025</t>
        </is>
      </c>
    </row>
    <row r="8">
      <c r="A8" s="11" t="inlineStr">
        <is>
          <t>Income Statement [Abstract]</t>
        </is>
      </c>
    </row>
    <row r="9">
      <c r="A9" s="11" t="inlineStr">
        <is>
          <t>Revenue</t>
        </is>
      </c>
      <c r="B9" s="12" t="n">
        <v>2575</v>
      </c>
      <c r="C9" s="12" t="n">
        <v>1212</v>
      </c>
      <c r="D9" s="12" t="n">
        <v>4653</v>
      </c>
      <c r="E9" s="12" t="n">
        <v>2194</v>
      </c>
    </row>
    <row r="10">
      <c r="A10" s="11" t="inlineStr">
        <is>
          <t>Operating expenses:</t>
        </is>
      </c>
    </row>
    <row r="11">
      <c r="A11" s="11" t="inlineStr">
        <is>
          <t>Cost of revenue</t>
        </is>
      </c>
      <c r="B11" s="12" t="n">
        <v>879</v>
      </c>
      <c r="C11" s="12" t="n">
        <v>313</v>
      </c>
      <c r="D11" s="12" t="n">
        <v>1595</v>
      </c>
      <c r="E11" s="12" t="n">
        <v>575</v>
      </c>
    </row>
    <row r="12">
      <c r="A12" s="11" t="inlineStr">
        <is>
          <t>Technology and infrastructure</t>
        </is>
      </c>
      <c r="B12" s="12" t="n">
        <v>1507</v>
      </c>
      <c r="C12" s="12" t="n">
        <v>670</v>
      </c>
      <c r="D12" s="12" t="n">
        <v>2780</v>
      </c>
      <c r="E12" s="12" t="n">
        <v>1231</v>
      </c>
    </row>
    <row r="13">
      <c r="A13" s="11" t="inlineStr">
        <is>
          <t>Sales and marketing</t>
        </is>
      </c>
      <c r="B13" s="12" t="n">
        <v>60</v>
      </c>
      <c r="C13" s="12" t="n">
        <v>36</v>
      </c>
      <c r="D13" s="12" t="n">
        <v>129</v>
      </c>
      <c r="E13" s="12" t="n">
        <v>47</v>
      </c>
    </row>
    <row r="14">
      <c r="A14" s="11" t="inlineStr">
        <is>
          <t>General and administrative</t>
        </is>
      </c>
      <c r="B14" s="12" t="n">
        <v>178</v>
      </c>
      <c r="C14" s="12" t="n">
        <v>174</v>
      </c>
      <c r="D14" s="12" t="n">
        <v>342</v>
      </c>
      <c r="E14" s="12" t="n">
        <v>349</v>
      </c>
    </row>
    <row r="15">
      <c r="A15" s="11" t="inlineStr">
        <is>
          <t>Total operating expenses</t>
        </is>
      </c>
      <c r="B15" s="12" t="n">
        <v>2624</v>
      </c>
      <c r="C15" s="12" t="n">
        <v>1193</v>
      </c>
      <c r="D15" s="12" t="n">
        <v>4846</v>
      </c>
      <c r="E15" s="12" t="n">
        <v>2202</v>
      </c>
    </row>
    <row r="16">
      <c r="A16" s="11" t="inlineStr">
        <is>
          <t>Operating income (loss)</t>
        </is>
      </c>
      <c r="B16" s="12" t="n">
        <v>-49</v>
      </c>
      <c r="C16" s="12" t="n">
        <v>19</v>
      </c>
      <c r="D16" s="12" t="n">
        <v>-193</v>
      </c>
      <c r="E16" s="12" t="n">
        <v>-8</v>
      </c>
    </row>
    <row r="17">
      <c r="A17" s="11" t="inlineStr">
        <is>
          <t>Gain (loss) on fair value adjustments</t>
        </is>
      </c>
      <c r="B17" s="12" t="n">
        <v>0</v>
      </c>
      <c r="C17" s="12" t="n">
        <v>0</v>
      </c>
      <c r="D17" s="12" t="n">
        <v>0</v>
      </c>
      <c r="E17" s="12" t="n">
        <v>27</v>
      </c>
    </row>
    <row r="18">
      <c r="A18" s="11" t="inlineStr">
        <is>
          <t>Interest expense, net</t>
        </is>
      </c>
      <c r="B18" s="12" t="n">
        <v>-640</v>
      </c>
      <c r="C18" s="12" t="n">
        <v>-267</v>
      </c>
      <c r="D18" s="12" t="n">
        <v>-1176</v>
      </c>
      <c r="E18" s="12" t="n">
        <v>-531</v>
      </c>
    </row>
    <row r="19">
      <c r="A19" s="11" t="inlineStr">
        <is>
          <t>Other income (expense), net</t>
        </is>
      </c>
      <c r="B19" s="12" t="n">
        <v>125</v>
      </c>
      <c r="C19" s="12" t="n">
        <v>6</v>
      </c>
      <c r="D19" s="12" t="n">
        <v>149</v>
      </c>
      <c r="E19" s="12" t="n">
        <v>1</v>
      </c>
    </row>
    <row r="20">
      <c r="A20" s="11" t="inlineStr">
        <is>
          <t>Loss before income taxes</t>
        </is>
      </c>
      <c r="B20" s="12" t="n">
        <v>-564</v>
      </c>
      <c r="C20" s="12" t="n">
        <v>-242</v>
      </c>
      <c r="D20" s="12" t="n">
        <v>-1220</v>
      </c>
      <c r="E20" s="12" t="n">
        <v>-511</v>
      </c>
    </row>
    <row r="21">
      <c r="A21" s="11" t="inlineStr">
        <is>
          <t>Provision for income taxes</t>
        </is>
      </c>
      <c r="B21" s="12" t="n">
        <v>62</v>
      </c>
      <c r="C21" s="12" t="n">
        <v>48</v>
      </c>
      <c r="D21" s="12" t="n">
        <v>146</v>
      </c>
      <c r="E21" s="12" t="n">
        <v>94</v>
      </c>
    </row>
    <row r="22">
      <c r="A22" s="11" t="inlineStr">
        <is>
          <t>Net loss</t>
        </is>
      </c>
      <c r="B22" s="12" t="n">
        <v>-626</v>
      </c>
      <c r="C22" s="12" t="n">
        <v>-290</v>
      </c>
      <c r="D22" s="12" t="n">
        <v>-1366</v>
      </c>
      <c r="E22" s="12" t="n">
        <v>-605</v>
      </c>
    </row>
    <row r="23">
      <c r="A23" s="11" t="inlineStr">
        <is>
          <t>Other comprehensive loss</t>
        </is>
      </c>
      <c r="B23" s="12" t="n">
        <v>-23</v>
      </c>
      <c r="C23" s="12" t="n">
        <v>0</v>
      </c>
      <c r="D23" s="12" t="n">
        <v>-18</v>
      </c>
      <c r="E23" s="12" t="n">
        <v>0</v>
      </c>
    </row>
    <row r="24">
      <c r="A24" s="11" t="inlineStr">
        <is>
          <t>Total comprehensive loss</t>
        </is>
      </c>
      <c r="B24" s="12" t="n">
        <v>-649</v>
      </c>
      <c r="C24" s="12" t="n">
        <v>-290</v>
      </c>
      <c r="D24" s="12" t="n">
        <v>-1384</v>
      </c>
      <c r="E24" s="12" t="n">
        <v>-605</v>
      </c>
    </row>
    <row r="25">
      <c r="A25" s="11" t="inlineStr">
        <is>
          <t>Net loss attributable to common stockholders, basic</t>
        </is>
      </c>
      <c r="B25" s="12" t="n">
        <v>-626</v>
      </c>
      <c r="C25" s="12" t="n">
        <v>-290</v>
      </c>
      <c r="D25" s="12" t="n">
        <v>-1366</v>
      </c>
      <c r="E25" s="12" t="n">
        <v>-634</v>
      </c>
    </row>
    <row r="26">
      <c r="A26" s="11" t="inlineStr">
        <is>
          <t>Net loss attributable to common stockholders, diluted</t>
        </is>
      </c>
      <c r="B26" s="12" t="n">
        <v>-626</v>
      </c>
      <c r="C26" s="12" t="n">
        <v>-290</v>
      </c>
      <c r="D26" s="12" t="n">
        <v>-1366</v>
      </c>
      <c r="E26" s="12" t="n">
        <v>-661</v>
      </c>
    </row>
    <row r="27">
      <c r="A27" s="11" t="inlineStr">
        <is>
          <t>Net loss per share attributable to common stockholders, basic (usd per share)</t>
        </is>
      </c>
      <c r="B27" s="16" t="n">
        <v>-1.14</v>
      </c>
      <c r="C27" s="16" t="n">
        <v>-0.6</v>
      </c>
      <c r="D27" s="16" t="n">
        <v>-2.53</v>
      </c>
      <c r="E27" s="16" t="n">
        <v>-1.73</v>
      </c>
    </row>
    <row r="28">
      <c r="A28" s="11" t="inlineStr">
        <is>
          <t>Net loss per share attributable to common stockholders, diluted (usd per share)</t>
        </is>
      </c>
      <c r="B28" s="16" t="n">
        <v>-1.14</v>
      </c>
      <c r="C28" s="16" t="n">
        <v>-0.6</v>
      </c>
      <c r="D28" s="16" t="n">
        <v>-2.53</v>
      </c>
      <c r="E28" s="16" t="n">
        <v>-1.79</v>
      </c>
    </row>
    <row r="29">
      <c r="A29" s="11" t="inlineStr">
        <is>
          <t>Weighted-average shares used in computing net loss per share attributable to common stockholders, basic (in shares)</t>
        </is>
      </c>
      <c r="B29" s="16" t="n">
        <v>551</v>
      </c>
      <c r="C29" s="16" t="n">
        <v>487</v>
      </c>
      <c r="D29" s="16" t="n">
        <v>539</v>
      </c>
      <c r="E29" s="16" t="n">
        <v>367</v>
      </c>
    </row>
    <row r="30">
      <c r="A30" s="11" t="inlineStr">
        <is>
          <t>Weighted-average shares used in computing net loss per share attributable to common stockholders, diluted (in shares)</t>
        </is>
      </c>
      <c r="B30" s="16" t="n">
        <v>551</v>
      </c>
      <c r="C30" s="16" t="n">
        <v>487</v>
      </c>
      <c r="D30" s="16" t="n">
        <v>539</v>
      </c>
      <c r="E30" s="16" t="n">
        <v>369</v>
      </c>
    </row>
    <row r="32">
      <c r="A32" s="13" t="inlineStr">
        <is>
          <t>Checks (added by us, NOT part of the SEC table) - all should be 0</t>
        </is>
      </c>
      <c r="B32" s="14" t="n"/>
      <c r="C32" s="14" t="n"/>
      <c r="D32" s="14" t="n"/>
      <c r="E32" s="14" t="n"/>
    </row>
    <row r="33">
      <c r="A33" s="11" t="inlineStr">
        <is>
          <t>Total operating expenses</t>
        </is>
      </c>
      <c r="B33" s="15">
        <f>SUM(B11:B14)-B15</f>
        <v/>
      </c>
      <c r="C33" s="15">
        <f>SUM(C11:C14)-C15</f>
        <v/>
      </c>
      <c r="D33" s="15">
        <f>SUM(D11:D14)-D15</f>
        <v/>
      </c>
      <c r="E33" s="15">
        <f>SUM(E11:E14)-E15</f>
        <v/>
      </c>
    </row>
    <row r="34">
      <c r="A34" s="11" t="inlineStr">
        <is>
          <t>Operating income</t>
        </is>
      </c>
      <c r="B34" s="15">
        <f>B9-B15-B16</f>
        <v/>
      </c>
      <c r="C34" s="15">
        <f>C9-C15-C16</f>
        <v/>
      </c>
      <c r="D34" s="15">
        <f>D9-D15-D16</f>
        <v/>
      </c>
      <c r="E34" s="15">
        <f>E9-E15-E16</f>
        <v/>
      </c>
    </row>
    <row r="35">
      <c r="A35" s="11" t="inlineStr">
        <is>
          <t>Loss before income taxes</t>
        </is>
      </c>
      <c r="B35" s="15">
        <f>SUM(B16:B19)-B20</f>
        <v/>
      </c>
      <c r="C35" s="15">
        <f>SUM(C16:C19)-C20</f>
        <v/>
      </c>
      <c r="D35" s="15">
        <f>SUM(D16:D19)-D20</f>
        <v/>
      </c>
      <c r="E35" s="15">
        <f>SUM(E16:E19)-E20</f>
        <v/>
      </c>
    </row>
    <row r="36">
      <c r="A36" s="11" t="inlineStr">
        <is>
          <t>Net loss</t>
        </is>
      </c>
      <c r="B36" s="15">
        <f>B20-B21-B22</f>
        <v/>
      </c>
      <c r="C36" s="15">
        <f>C20-C21-C22</f>
        <v/>
      </c>
      <c r="D36" s="15">
        <f>D20-D21-D22</f>
        <v/>
      </c>
      <c r="E36" s="15">
        <f>E20-E21-E22</f>
        <v/>
      </c>
    </row>
    <row r="37">
      <c r="A37" s="11" t="inlineStr">
        <is>
          <t>Total comprehensive loss</t>
        </is>
      </c>
      <c r="B37" s="15">
        <f>B22+B23-B24</f>
        <v/>
      </c>
      <c r="C37" s="15">
        <f>C22+C23-C24</f>
        <v/>
      </c>
      <c r="D37" s="15">
        <f>D22+D23-D24</f>
        <v/>
      </c>
      <c r="E37" s="15">
        <f>E22+E23-E24</f>
        <v/>
      </c>
    </row>
  </sheetData>
  <mergeCells count="2">
    <mergeCell ref="D6:E6"/>
    <mergeCell ref="B6:C6"/>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C74"/>
  <sheetViews>
    <sheetView showGridLines="0" zoomScaleNormal="100" workbookViewId="0">
      <pane xSplit="1" ySplit="7" topLeftCell="B32" activePane="bottomRight" state="frozen"/>
      <selection pane="topRight" activeCell="B1" sqref="B1"/>
      <selection pane="bottomLeft" activeCell="A8" sqref="A8"/>
      <selection pane="bottomRight" activeCell="A1" sqref="A1"/>
    </sheetView>
  </sheetViews>
  <sheetFormatPr baseColWidth="10" defaultColWidth="8.6640625" defaultRowHeight="15"/>
  <cols>
    <col width="70" customWidth="1" style="186" min="1" max="1"/>
    <col width="15" customWidth="1" style="186" min="2" max="3"/>
  </cols>
  <sheetData>
    <row r="1" ht="16.5" customHeight="1" s="186">
      <c r="A1" s="5" t="inlineStr">
        <is>
          <t>10-Q Q2 2026 - Condensed Consolidated Statements of Cash Flows</t>
        </is>
      </c>
    </row>
    <row r="2">
      <c r="A2" s="6" t="inlineStr">
        <is>
          <t>Source: 10-Q filed 2026-08-12, R6.htm</t>
        </is>
      </c>
    </row>
    <row r="3">
      <c r="A3" s="6" t="inlineStr">
        <is>
          <t>https://www.sec.gov/Archives/edgar/data/1769628/000176962826000366/R6.htm</t>
        </is>
      </c>
    </row>
    <row r="4">
      <c r="A4" s="6" t="inlineStr">
        <is>
          <t>NOTE: this R page is labelled '$ in Thousands' (1,366,000 = $1,366 million). The 10-Q document itself shows $ in millions. Copied as shown.</t>
        </is>
      </c>
    </row>
    <row r="6" ht="24" customHeight="1" s="186">
      <c r="A6" s="189" t="inlineStr">
        <is>
          <t>CONDENSED CONSOLIDATED STATEMENTS OF CASH FLOWS - USD ($) $ in Thousands</t>
        </is>
      </c>
      <c r="B6" s="185" t="inlineStr">
        <is>
          <t>6 Months Ended</t>
        </is>
      </c>
    </row>
    <row r="7">
      <c r="B7" s="185" t="inlineStr">
        <is>
          <t>Jun. 30, 2026</t>
        </is>
      </c>
      <c r="C7" s="185" t="inlineStr">
        <is>
          <t>Jun. 30, 2025</t>
        </is>
      </c>
    </row>
    <row r="8">
      <c r="A8" s="11" t="inlineStr">
        <is>
          <t>Cash flows from operating activities:</t>
        </is>
      </c>
    </row>
    <row r="9">
      <c r="A9" s="11" t="inlineStr">
        <is>
          <t>Net loss</t>
        </is>
      </c>
      <c r="B9" s="12" t="n">
        <v>-1366000</v>
      </c>
      <c r="C9" s="12" t="n">
        <v>-605000</v>
      </c>
    </row>
    <row r="10">
      <c r="A10" s="11" t="inlineStr">
        <is>
          <t>Adjustments to reconcile net loss to net cash provided by operating activities</t>
        </is>
      </c>
    </row>
    <row r="11">
      <c r="A11" s="11" t="inlineStr">
        <is>
          <t>Depreciation and amortization</t>
        </is>
      </c>
      <c r="B11" s="12" t="n">
        <v>2540000</v>
      </c>
      <c r="C11" s="12" t="n">
        <v>1003000</v>
      </c>
    </row>
    <row r="12">
      <c r="A12" s="11" t="inlineStr">
        <is>
          <t>Amortization of debt discounts and issuance costs and accretion of redemption premiums</t>
        </is>
      </c>
      <c r="B12" s="12" t="n">
        <v>86000</v>
      </c>
      <c r="C12" s="12" t="n">
        <v>67000</v>
      </c>
    </row>
    <row r="13">
      <c r="A13" s="11" t="inlineStr">
        <is>
          <t>Stock-based compensation expense</t>
        </is>
      </c>
      <c r="B13" s="12" t="n">
        <v>318000</v>
      </c>
      <c r="C13" s="12" t="n">
        <v>329000</v>
      </c>
    </row>
    <row r="14">
      <c r="A14" s="11" t="inlineStr">
        <is>
          <t>Non-cash lease expense</t>
        </is>
      </c>
      <c r="B14" s="12" t="n">
        <v>365000</v>
      </c>
      <c r="C14" s="12" t="n">
        <v>144000</v>
      </c>
    </row>
    <row r="15">
      <c r="A15" s="11" t="inlineStr">
        <is>
          <t>Deferred income taxes</t>
        </is>
      </c>
      <c r="B15" s="12" t="n">
        <v>140000</v>
      </c>
      <c r="C15" s="12" t="n">
        <v>91000</v>
      </c>
    </row>
    <row r="16">
      <c r="A16" s="11" t="inlineStr">
        <is>
          <t>Gain on fair value adjustments</t>
        </is>
      </c>
      <c r="B16" s="12" t="n">
        <v>0</v>
      </c>
      <c r="C16" s="12" t="n">
        <v>-27000</v>
      </c>
    </row>
    <row r="17">
      <c r="A17" s="11" t="inlineStr">
        <is>
          <t>Other non-cash reconciling items</t>
        </is>
      </c>
      <c r="B17" s="12" t="n">
        <v>97000</v>
      </c>
      <c r="C17" s="12" t="n">
        <v>39000</v>
      </c>
    </row>
    <row r="18">
      <c r="A18" s="11" t="inlineStr">
        <is>
          <t>Changes in operating assets and liabilities, net of effect of business acquisitions:</t>
        </is>
      </c>
    </row>
    <row r="19">
      <c r="A19" s="11" t="inlineStr">
        <is>
          <t>Accounts receivable</t>
        </is>
      </c>
      <c r="B19" s="12" t="n">
        <v>607000</v>
      </c>
      <c r="C19" s="12" t="n">
        <v>-1505000</v>
      </c>
    </row>
    <row r="20">
      <c r="A20" s="11" t="inlineStr">
        <is>
          <t>Prepaid expenses and other assets</t>
        </is>
      </c>
      <c r="B20" s="12" t="n">
        <v>-611000</v>
      </c>
      <c r="C20" s="12" t="n">
        <v>-70000</v>
      </c>
    </row>
    <row r="21">
      <c r="A21" s="11" t="inlineStr">
        <is>
          <t>Accounts payable and accrued expenses</t>
        </is>
      </c>
      <c r="B21" s="12" t="n">
        <v>304000</v>
      </c>
      <c r="C21" s="12" t="n">
        <v>-289000</v>
      </c>
    </row>
    <row r="22">
      <c r="A22" s="11" t="inlineStr">
        <is>
          <t>Deferred revenue</t>
        </is>
      </c>
      <c r="B22" s="12" t="n">
        <v>1365000</v>
      </c>
      <c r="C22" s="12" t="n">
        <v>743000</v>
      </c>
    </row>
    <row r="23">
      <c r="A23" s="11" t="inlineStr">
        <is>
          <t>Lease liabilities</t>
        </is>
      </c>
      <c r="B23" s="12" t="n">
        <v>-182000</v>
      </c>
      <c r="C23" s="12" t="n">
        <v>-110000</v>
      </c>
    </row>
    <row r="24">
      <c r="A24" s="11" t="inlineStr">
        <is>
          <t>Net cash provided by (used in) operating activities</t>
        </is>
      </c>
      <c r="B24" s="12" t="n">
        <v>3663000</v>
      </c>
      <c r="C24" s="12" t="n">
        <v>-190000</v>
      </c>
    </row>
    <row r="25">
      <c r="A25" s="11" t="inlineStr">
        <is>
          <t>Cash flows from investing activities:</t>
        </is>
      </c>
    </row>
    <row r="26">
      <c r="A26" s="11" t="inlineStr">
        <is>
          <t>Purchase of property and equipment, including capitalized internal-use software</t>
        </is>
      </c>
      <c r="B26" s="12" t="n">
        <v>-14117000</v>
      </c>
      <c r="C26" s="12" t="n">
        <v>-3860000</v>
      </c>
    </row>
    <row r="27">
      <c r="A27" s="11" t="inlineStr">
        <is>
          <t>Maturities and sales of marketable securities</t>
        </is>
      </c>
      <c r="B27" s="12" t="n">
        <v>18000</v>
      </c>
      <c r="C27" s="12" t="n">
        <v>29000</v>
      </c>
    </row>
    <row r="28">
      <c r="A28" s="11" t="inlineStr">
        <is>
          <t>Investments related to joint ventures</t>
        </is>
      </c>
      <c r="B28" s="12" t="n">
        <v>-550000</v>
      </c>
      <c r="C28" s="12" t="n">
        <v>-32000</v>
      </c>
    </row>
    <row r="29">
      <c r="A29" s="11" t="inlineStr">
        <is>
          <t>Purchase of strategic investments</t>
        </is>
      </c>
      <c r="B29" s="12" t="n">
        <v>-138000</v>
      </c>
      <c r="C29" s="12" t="n">
        <v>0</v>
      </c>
    </row>
    <row r="30">
      <c r="A30" s="11" t="inlineStr">
        <is>
          <t>Sales of warrants received as lease incentive</t>
        </is>
      </c>
      <c r="B30" s="12" t="n">
        <v>0</v>
      </c>
      <c r="C30" s="12" t="n">
        <v>101000</v>
      </c>
    </row>
    <row r="31">
      <c r="A31" s="11" t="inlineStr">
        <is>
          <t>Issuance of notes receivable</t>
        </is>
      </c>
      <c r="B31" s="12" t="n">
        <v>0</v>
      </c>
      <c r="C31" s="12" t="n">
        <v>-73000</v>
      </c>
    </row>
    <row r="32">
      <c r="A32" s="11" t="inlineStr">
        <is>
          <t>Business combination, net of cash acquired</t>
        </is>
      </c>
      <c r="B32" s="12" t="n">
        <v>0</v>
      </c>
      <c r="C32" s="12" t="n">
        <v>-46000</v>
      </c>
    </row>
    <row r="33">
      <c r="A33" s="11" t="inlineStr">
        <is>
          <t>Other investing activities</t>
        </is>
      </c>
      <c r="B33" s="12" t="n">
        <v>-87000</v>
      </c>
      <c r="C33" s="12" t="n">
        <v>6000</v>
      </c>
    </row>
    <row r="34">
      <c r="A34" s="11" t="inlineStr">
        <is>
          <t>Net cash used in investing activities</t>
        </is>
      </c>
      <c r="B34" s="12" t="n">
        <v>-14874000</v>
      </c>
      <c r="C34" s="12" t="n">
        <v>-3875000</v>
      </c>
    </row>
    <row r="35">
      <c r="A35" s="11" t="inlineStr">
        <is>
          <t>Cash flows from financing activities:</t>
        </is>
      </c>
    </row>
    <row r="36">
      <c r="A36" s="11" t="inlineStr">
        <is>
          <t>Proceeds from issuance of debt, net</t>
        </is>
      </c>
      <c r="B36" s="12" t="n">
        <v>16747000</v>
      </c>
      <c r="C36" s="12" t="n">
        <v>4396000</v>
      </c>
    </row>
    <row r="37">
      <c r="A37" s="11" t="inlineStr">
        <is>
          <t>Repayments of debt</t>
        </is>
      </c>
      <c r="B37" s="12" t="n">
        <v>-5219000</v>
      </c>
      <c r="C37" s="12" t="n">
        <v>-1575000</v>
      </c>
    </row>
    <row r="38">
      <c r="A38" s="11" t="inlineStr">
        <is>
          <t>Purchase of capped calls related to convertible senior notes</t>
        </is>
      </c>
      <c r="B38" s="12" t="n">
        <v>-492000</v>
      </c>
      <c r="C38" s="12" t="n">
        <v>0</v>
      </c>
    </row>
    <row r="39">
      <c r="A39" s="11" t="inlineStr">
        <is>
          <t>Issuance of common stock in private placements, net of issuance costs</t>
        </is>
      </c>
      <c r="B39" s="12" t="n">
        <v>2982000</v>
      </c>
      <c r="C39" s="12" t="n">
        <v>0</v>
      </c>
    </row>
    <row r="40">
      <c r="A40" s="11" t="inlineStr">
        <is>
          <t>Payment of tax withholdings on settlement of restricted stock units</t>
        </is>
      </c>
      <c r="B40" s="12" t="n">
        <v>0</v>
      </c>
      <c r="C40" s="12" t="n">
        <v>-133000</v>
      </c>
    </row>
    <row r="41">
      <c r="A41" s="11" t="inlineStr">
        <is>
          <t>Proceeds from initial public offering, net of underwriting discounts and commissions</t>
        </is>
      </c>
      <c r="B41" s="12" t="n">
        <v>0</v>
      </c>
      <c r="C41" s="12" t="n">
        <v>1491000</v>
      </c>
    </row>
    <row r="42">
      <c r="A42" s="11" t="inlineStr">
        <is>
          <t>Redeemable convertible preferred stock cash dividends paid</t>
        </is>
      </c>
      <c r="B42" s="12" t="n">
        <v>0</v>
      </c>
      <c r="C42" s="12" t="n">
        <v>-29000</v>
      </c>
    </row>
    <row r="43">
      <c r="A43" s="11" t="inlineStr">
        <is>
          <t>Other financing activities</t>
        </is>
      </c>
      <c r="B43" s="12" t="n">
        <v>-33000</v>
      </c>
      <c r="C43" s="12" t="n">
        <v>-66000</v>
      </c>
    </row>
    <row r="44">
      <c r="A44" s="11" t="inlineStr">
        <is>
          <t>Net cash provided by financing activities</t>
        </is>
      </c>
      <c r="B44" s="12" t="n">
        <v>13985000</v>
      </c>
      <c r="C44" s="12" t="n">
        <v>4084000</v>
      </c>
    </row>
    <row r="45">
      <c r="A45" s="11" t="inlineStr">
        <is>
          <t>Net increase (decrease) in cash, cash equivalents, and restricted cash</t>
        </is>
      </c>
      <c r="B45" s="12" t="n">
        <v>2774000</v>
      </c>
      <c r="C45" s="12" t="n">
        <v>19000</v>
      </c>
    </row>
    <row r="46">
      <c r="A46" s="11" t="inlineStr">
        <is>
          <t>Cash, cash equivalents, and restricted cash—beginning of period</t>
        </is>
      </c>
      <c r="B46" s="12" t="n">
        <v>4130000</v>
      </c>
      <c r="C46" s="12" t="n">
        <v>2035000</v>
      </c>
    </row>
    <row r="47">
      <c r="A47" s="11" t="inlineStr">
        <is>
          <t>Cash, cash equivalents, and restricted cash—end of period</t>
        </is>
      </c>
      <c r="B47" s="12" t="n">
        <v>6904000</v>
      </c>
      <c r="C47" s="12" t="n">
        <v>2054000</v>
      </c>
    </row>
    <row r="48">
      <c r="A48" s="11" t="inlineStr">
        <is>
          <t>Supplemental disclosures of cash flow information:</t>
        </is>
      </c>
    </row>
    <row r="49">
      <c r="A49" s="11" t="inlineStr">
        <is>
          <t>Cash paid for interest, net of capitalized amounts</t>
        </is>
      </c>
      <c r="B49" s="12" t="n">
        <v>806000</v>
      </c>
      <c r="C49" s="12" t="n">
        <v>362000</v>
      </c>
    </row>
    <row r="50">
      <c r="A50" s="11" t="inlineStr">
        <is>
          <t>Non-cash investing and financing activities:</t>
        </is>
      </c>
    </row>
    <row r="51">
      <c r="A51" s="11" t="inlineStr">
        <is>
          <t>Liabilities related to property and equipment additions, including OEM financed additions</t>
        </is>
      </c>
      <c r="B51" s="12" t="n">
        <v>9796000</v>
      </c>
      <c r="C51" s="12" t="n">
        <v>2155000</v>
      </c>
    </row>
    <row r="52">
      <c r="A52" s="11" t="inlineStr">
        <is>
          <t>Reclassification of liabilities related to property and equipment additions to debt upon execution of OEM financing arrangements</t>
        </is>
      </c>
      <c r="B52" s="12" t="n">
        <v>1469000</v>
      </c>
      <c r="C52" s="12" t="n">
        <v>0</v>
      </c>
    </row>
    <row r="53">
      <c r="A53" s="11" t="inlineStr">
        <is>
          <t>Operating lease right-of-use assets acquired through lease liability</t>
        </is>
      </c>
      <c r="B53" s="12" t="n">
        <v>8359000</v>
      </c>
      <c r="C53" s="12" t="n">
        <v>969000</v>
      </c>
    </row>
    <row r="54">
      <c r="A54" s="11" t="inlineStr">
        <is>
          <t>Conversion of convertible promissory notes</t>
        </is>
      </c>
      <c r="B54" s="12" t="n">
        <v>195000</v>
      </c>
      <c r="C54" s="12" t="n">
        <v>0</v>
      </c>
    </row>
    <row r="55">
      <c r="A55" s="11" t="inlineStr">
        <is>
          <t>Conversion of redeemable convertible preferred stock in connection with initial public offering</t>
        </is>
      </c>
      <c r="B55" s="12" t="n">
        <v>0</v>
      </c>
      <c r="C55" s="12" t="n">
        <v>1722000</v>
      </c>
    </row>
    <row r="56">
      <c r="A56" s="11" t="inlineStr">
        <is>
          <t>Issuance of common stock, restricted stock units, and restricted stock awards for business combinations</t>
        </is>
      </c>
      <c r="B56" s="12" t="n">
        <v>0</v>
      </c>
      <c r="C56" s="12" t="n">
        <v>933000</v>
      </c>
    </row>
    <row r="57">
      <c r="A57" s="11" t="inlineStr">
        <is>
          <t>Issuance of common stock for contract incentive</t>
        </is>
      </c>
      <c r="B57" s="12" t="n">
        <v>0</v>
      </c>
      <c r="C57" s="12" t="n">
        <v>350000</v>
      </c>
    </row>
    <row r="58">
      <c r="A58" s="11" t="inlineStr">
        <is>
          <t>Reclassification of warrant liabilities to equity</t>
        </is>
      </c>
      <c r="B58" s="12" t="n">
        <v>0</v>
      </c>
      <c r="C58" s="12" t="n">
        <v>173000</v>
      </c>
    </row>
    <row r="59">
      <c r="A59" s="11" t="inlineStr">
        <is>
          <t>Reclassification of customer deposit to debt</t>
        </is>
      </c>
      <c r="B59" s="12" t="n">
        <v>0</v>
      </c>
      <c r="C59" s="12" t="n">
        <v>230000</v>
      </c>
    </row>
    <row r="60">
      <c r="A60" s="11" t="inlineStr">
        <is>
          <t>Warrants received as lease incentive</t>
        </is>
      </c>
      <c r="B60" s="12" t="n">
        <v>0</v>
      </c>
      <c r="C60" s="12" t="n">
        <v>90000</v>
      </c>
    </row>
    <row r="61">
      <c r="A61" s="11" t="inlineStr">
        <is>
          <t>Non-cash investments</t>
        </is>
      </c>
      <c r="B61" s="12" t="n">
        <v>0</v>
      </c>
      <c r="C61" s="12" t="n">
        <v>72000</v>
      </c>
    </row>
    <row r="62">
      <c r="A62" s="11" t="inlineStr">
        <is>
          <t>Reconciliation of cash, cash equivalents, and restricted cash to condensed consolidated balance sheets:</t>
        </is>
      </c>
    </row>
    <row r="63">
      <c r="A63" s="11" t="inlineStr">
        <is>
          <t>Cash and cash equivalents</t>
        </is>
      </c>
      <c r="B63" s="12" t="n">
        <v>5524000</v>
      </c>
      <c r="C63" s="12" t="n">
        <v>1153000</v>
      </c>
    </row>
    <row r="64">
      <c r="A64" s="11" t="inlineStr">
        <is>
          <t>Restricted cash and cash equivalents, current</t>
        </is>
      </c>
      <c r="B64" s="12" t="n">
        <v>873000</v>
      </c>
      <c r="C64" s="12" t="n">
        <v>560000</v>
      </c>
    </row>
    <row r="65">
      <c r="A65" s="11" t="inlineStr">
        <is>
          <t>Restricted cash and cash equivalents, non-current</t>
        </is>
      </c>
      <c r="B65" s="12" t="n">
        <v>507000</v>
      </c>
      <c r="C65" s="12" t="n">
        <v>341000</v>
      </c>
    </row>
    <row r="66">
      <c r="A66" s="11" t="inlineStr">
        <is>
          <t>Total cash, cash equivalents, and restricted cash</t>
        </is>
      </c>
      <c r="B66" s="12" t="n">
        <v>6904000</v>
      </c>
      <c r="C66" s="12" t="n">
        <v>2054000</v>
      </c>
    </row>
    <row r="68">
      <c r="A68" s="13" t="inlineStr">
        <is>
          <t>Checks (added by us, NOT part of the SEC table) - all should be 0</t>
        </is>
      </c>
      <c r="B68" s="14" t="n"/>
      <c r="C68" s="14" t="n"/>
    </row>
    <row r="69">
      <c r="A69" s="11" t="inlineStr">
        <is>
          <t>Operating activities</t>
        </is>
      </c>
      <c r="B69" s="15">
        <f>SUM(B9:B23)-B24</f>
        <v/>
      </c>
      <c r="C69" s="15">
        <f>SUM(C9:C23)-C24</f>
        <v/>
      </c>
    </row>
    <row r="70">
      <c r="A70" s="11" t="inlineStr">
        <is>
          <t>Investing activities</t>
        </is>
      </c>
      <c r="B70" s="15">
        <f>SUM(B26:B33)-B34</f>
        <v/>
      </c>
      <c r="C70" s="15">
        <f>SUM(C26:C33)-C34</f>
        <v/>
      </c>
    </row>
    <row r="71">
      <c r="A71" s="11" t="inlineStr">
        <is>
          <t>Financing activities</t>
        </is>
      </c>
      <c r="B71" s="15">
        <f>SUM(B36:B43)-B44</f>
        <v/>
      </c>
      <c r="C71" s="15">
        <f>SUM(C36:C43)-C44</f>
        <v/>
      </c>
    </row>
    <row r="72">
      <c r="A72" s="11" t="inlineStr">
        <is>
          <t>Net change in cash</t>
        </is>
      </c>
      <c r="B72" s="15">
        <f>B24+B34+B44-B45</f>
        <v/>
      </c>
      <c r="C72" s="15">
        <f>C24+C34+C44-C45</f>
        <v/>
      </c>
    </row>
    <row r="73">
      <c r="A73" s="11" t="inlineStr">
        <is>
          <t>Cash roll-forward</t>
        </is>
      </c>
      <c r="B73" s="15">
        <f>B46+B45-B47</f>
        <v/>
      </c>
      <c r="C73" s="15">
        <f>C46+C45-C47</f>
        <v/>
      </c>
    </row>
    <row r="74">
      <c r="A74" s="11" t="inlineStr">
        <is>
          <t>Cash reconciliation</t>
        </is>
      </c>
      <c r="B74" s="15">
        <f>SUM(B63:B65)-B66</f>
        <v/>
      </c>
      <c r="C74" s="15">
        <f>SUM(C63:C65)-C66</f>
        <v/>
      </c>
    </row>
  </sheetData>
  <mergeCells count="1">
    <mergeCell ref="B6:C6"/>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89"/>
  <sheetViews>
    <sheetView showGridLines="0" zoomScaleNormal="100" workbookViewId="0">
      <pane xSplit="1" ySplit="5" topLeftCell="B45" activePane="bottomRight" state="frozen"/>
      <selection pane="topRight" activeCell="B1" sqref="B1"/>
      <selection pane="bottomLeft" activeCell="A6" sqref="A6"/>
      <selection pane="bottomRight" activeCell="C16" sqref="C16"/>
    </sheetView>
  </sheetViews>
  <sheetFormatPr baseColWidth="10" defaultColWidth="8.6640625" defaultRowHeight="15"/>
  <cols>
    <col width="70" customWidth="1" style="186" min="1" max="1"/>
    <col width="20" customWidth="1" style="186" min="2" max="2"/>
    <col width="30" customWidth="1" style="186" min="3" max="3"/>
    <col width="13" customWidth="1" style="186" min="4" max="4"/>
    <col width="15" customWidth="1" style="186" min="5" max="5"/>
  </cols>
  <sheetData>
    <row r="1" ht="16.5" customHeight="1" s="186">
      <c r="A1" s="5" t="inlineStr">
        <is>
          <t>10-Q Q2 2026 - Note 10 Debt tables + MD&amp;A liquidity table</t>
        </is>
      </c>
    </row>
    <row r="2">
      <c r="A2" s="6" t="inlineStr">
        <is>
          <t>Source: 10-Q filed 2026-08-12. Tables 1-4 from R32.htm 'Debt (Tables)'; table 5 from the 10-Q document, Item 2 MD&amp;A, Liquidity and Capital Resources</t>
        </is>
      </c>
    </row>
    <row r="3">
      <c r="A3" s="6" t="inlineStr">
        <is>
          <t>https://www.sec.gov/Archives/edgar/data/1769628/000176962826000366/R32.htm</t>
        </is>
      </c>
    </row>
    <row r="4">
      <c r="A4" s="6" t="inlineStr">
        <is>
          <t>Copied as shown ($ in millions). Rates like '15%' stored as 0.15; '—' stored as 0. Footnotes copied word for word below each table.</t>
        </is>
      </c>
    </row>
    <row r="6">
      <c r="A6" s="10" t="inlineStr">
        <is>
          <t>Table 1. The total debt obligations are as follows (dollars in millions)</t>
        </is>
      </c>
    </row>
    <row r="7" ht="26.5" customHeight="1" s="186">
      <c r="A7" s="17" t="n"/>
      <c r="B7" s="18" t="inlineStr">
        <is>
          <t>Maturities</t>
        </is>
      </c>
      <c r="C7" s="18" t="inlineStr">
        <is>
          <t>EffectiveInterestRates</t>
        </is>
      </c>
      <c r="D7" s="18" t="inlineStr">
        <is>
          <t>June 30,2026</t>
        </is>
      </c>
      <c r="E7" s="18" t="inlineStr">
        <is>
          <t>December 31,2025</t>
        </is>
      </c>
    </row>
    <row r="8">
      <c r="A8" s="10" t="inlineStr">
        <is>
          <t>Recourse debt:</t>
        </is>
      </c>
    </row>
    <row r="9">
      <c r="A9" s="11" t="inlineStr">
        <is>
          <t>DDTL 1.0 Facility</t>
        </is>
      </c>
      <c r="B9" s="19" t="inlineStr">
        <is>
          <t>Mar 2028</t>
        </is>
      </c>
      <c r="C9" s="20" t="n">
        <v>0.15</v>
      </c>
      <c r="D9" s="12" t="n">
        <v>1300</v>
      </c>
      <c r="E9" s="12" t="n">
        <v>1553</v>
      </c>
    </row>
    <row r="10">
      <c r="A10" s="11" t="inlineStr">
        <is>
          <t>DDTL 2.0 Facility</t>
        </is>
      </c>
      <c r="B10" s="19" t="inlineStr">
        <is>
          <t>Aug 2030</t>
        </is>
      </c>
      <c r="C10" s="20" t="n">
        <v>0.11</v>
      </c>
      <c r="D10" s="12" t="n">
        <v>3190</v>
      </c>
      <c r="E10" s="12" t="n">
        <v>5037</v>
      </c>
    </row>
    <row r="11">
      <c r="A11" s="11" t="inlineStr">
        <is>
          <t>DDTL 2.1 Facility</t>
        </is>
      </c>
      <c r="B11" s="19" t="inlineStr">
        <is>
          <t>Mar 2031</t>
        </is>
      </c>
      <c r="C11" s="20" t="n">
        <v>0.09</v>
      </c>
      <c r="D11" s="12" t="n">
        <v>3000</v>
      </c>
      <c r="E11" s="12" t="n">
        <v>2741</v>
      </c>
    </row>
    <row r="12">
      <c r="A12" s="11" t="inlineStr">
        <is>
          <t>DDTL 3.0 Facility</t>
        </is>
      </c>
      <c r="B12" s="19" t="inlineStr">
        <is>
          <t>Aug 2030</t>
        </is>
      </c>
      <c r="C12" s="20" t="n">
        <v>0.09</v>
      </c>
      <c r="D12" s="12" t="n">
        <v>2215</v>
      </c>
      <c r="E12" s="12" t="n">
        <v>340</v>
      </c>
    </row>
    <row r="13">
      <c r="A13" s="11" t="inlineStr">
        <is>
          <t>DDTL 5.0 Facility</t>
        </is>
      </c>
      <c r="B13" s="19" t="inlineStr">
        <is>
          <t>Nov 2031</t>
        </is>
      </c>
      <c r="C13" s="20" t="n">
        <v>0.09</v>
      </c>
      <c r="D13" s="12" t="n">
        <v>1101</v>
      </c>
      <c r="E13" s="12" t="n">
        <v>0</v>
      </c>
    </row>
    <row r="14">
      <c r="A14" s="11" t="inlineStr">
        <is>
          <t>2030 Senior Notes</t>
        </is>
      </c>
      <c r="B14" s="19" t="inlineStr">
        <is>
          <t>Jun 2030</t>
        </is>
      </c>
      <c r="C14" s="20" t="n">
        <v>0.1</v>
      </c>
      <c r="D14" s="12" t="n">
        <v>2000</v>
      </c>
      <c r="E14" s="12" t="n">
        <v>2000</v>
      </c>
    </row>
    <row r="15">
      <c r="A15" s="11" t="inlineStr">
        <is>
          <t>2031 9.00% Senior Notes</t>
        </is>
      </c>
      <c r="B15" s="19" t="inlineStr">
        <is>
          <t>Feb 2031</t>
        </is>
      </c>
      <c r="C15" s="20" t="n">
        <v>0.1</v>
      </c>
      <c r="D15" s="12" t="n">
        <v>1750</v>
      </c>
      <c r="E15" s="12" t="n">
        <v>1750</v>
      </c>
    </row>
    <row r="16">
      <c r="A16" s="11" t="inlineStr">
        <is>
          <t>2031 9.75% Senior Notes</t>
        </is>
      </c>
      <c r="B16" s="19" t="inlineStr">
        <is>
          <t>Oct 2031</t>
        </is>
      </c>
      <c r="C16" s="20" t="n">
        <v>0.1</v>
      </c>
      <c r="D16" s="12" t="n">
        <v>2750</v>
      </c>
      <c r="E16" s="12" t="n">
        <v>0</v>
      </c>
    </row>
    <row r="17">
      <c r="A17" s="11" t="inlineStr">
        <is>
          <t>2032 9.625% Senior Notes</t>
        </is>
      </c>
      <c r="B17" s="19" t="inlineStr">
        <is>
          <t>Jul 2032</t>
        </is>
      </c>
      <c r="C17" s="20" t="n">
        <v>0.1</v>
      </c>
      <c r="D17" s="12" t="n">
        <v>1250</v>
      </c>
      <c r="E17" s="12" t="n">
        <v>0</v>
      </c>
    </row>
    <row r="18">
      <c r="A18" s="11" t="inlineStr">
        <is>
          <t>2032 EUR Senior Notes(1)</t>
        </is>
      </c>
      <c r="B18" s="19" t="inlineStr">
        <is>
          <t>Jul 2032</t>
        </is>
      </c>
      <c r="C18" s="20" t="n">
        <v>0.09</v>
      </c>
      <c r="D18" s="12" t="n">
        <v>2279</v>
      </c>
      <c r="E18" s="12" t="n">
        <v>0</v>
      </c>
    </row>
    <row r="19">
      <c r="A19" s="11" t="inlineStr">
        <is>
          <t>2031 Convertible Senior Notes</t>
        </is>
      </c>
      <c r="B19" s="19" t="inlineStr">
        <is>
          <t>Dec 2031</t>
        </is>
      </c>
      <c r="C19" s="20" t="n">
        <v>0.02</v>
      </c>
      <c r="D19" s="12" t="n">
        <v>2588</v>
      </c>
      <c r="E19" s="12" t="n">
        <v>2588</v>
      </c>
    </row>
    <row r="20">
      <c r="A20" s="11" t="inlineStr">
        <is>
          <t>2032 Convertible Senior Notes</t>
        </is>
      </c>
      <c r="B20" s="19" t="inlineStr">
        <is>
          <t>Oct 2032</t>
        </is>
      </c>
      <c r="C20" s="20" t="n">
        <v>0.02</v>
      </c>
      <c r="D20" s="12" t="n">
        <v>4000</v>
      </c>
      <c r="E20" s="12" t="n">
        <v>0</v>
      </c>
    </row>
    <row r="21">
      <c r="A21" s="11" t="inlineStr">
        <is>
          <t>Convertible Promissory Notes</t>
        </is>
      </c>
      <c r="B21" s="19" t="inlineStr">
        <is>
          <t>Apr 2026</t>
        </is>
      </c>
      <c r="C21" s="20" t="n">
        <v>0.07000000000000001</v>
      </c>
      <c r="D21" s="12" t="n">
        <v>0</v>
      </c>
      <c r="E21" s="12" t="n">
        <v>168</v>
      </c>
    </row>
    <row r="22">
      <c r="A22" s="11" t="inlineStr">
        <is>
          <t>Revolving Credit Facility</t>
        </is>
      </c>
      <c r="B22" s="19" t="inlineStr">
        <is>
          <t>Nov 2029</t>
        </is>
      </c>
      <c r="C22" s="20" t="n">
        <v>0.07000000000000001</v>
      </c>
      <c r="D22" s="12" t="n">
        <v>0</v>
      </c>
      <c r="E22" s="12" t="n">
        <v>1000</v>
      </c>
    </row>
    <row r="23">
      <c r="A23" s="11" t="inlineStr">
        <is>
          <t>OEM and Software License Financing Arrangements</t>
        </is>
      </c>
      <c r="B23" s="19" t="inlineStr">
        <is>
          <t>Dec 2026 - Jul 2030</t>
        </is>
      </c>
      <c r="C23" s="20" t="n">
        <v>0.11</v>
      </c>
      <c r="D23" s="12" t="n">
        <v>4220</v>
      </c>
      <c r="E23" s="12" t="n">
        <v>3518</v>
      </c>
    </row>
    <row r="24">
      <c r="A24" s="11" t="inlineStr">
        <is>
          <t>Magnetar Loan</t>
        </is>
      </c>
      <c r="B24" s="19" t="inlineStr">
        <is>
          <t>Jan 2029</t>
        </is>
      </c>
      <c r="C24" s="20" t="n">
        <v>0.12</v>
      </c>
      <c r="D24" s="12" t="n">
        <v>189</v>
      </c>
      <c r="E24" s="12" t="n">
        <v>273</v>
      </c>
    </row>
    <row r="25">
      <c r="A25" s="11" t="inlineStr">
        <is>
          <t>Less: Unamortized discount and issuance costs</t>
        </is>
      </c>
      <c r="D25" s="12" t="n">
        <v>-427</v>
      </c>
      <c r="E25" s="12" t="n">
        <v>-242</v>
      </c>
    </row>
    <row r="26">
      <c r="A26" s="10" t="inlineStr">
        <is>
          <t>Total recourse debt, net of unamortized discount and issuance costs</t>
        </is>
      </c>
      <c r="D26" s="12" t="n">
        <v>31405</v>
      </c>
      <c r="E26" s="12" t="n">
        <v>20726</v>
      </c>
    </row>
    <row r="27">
      <c r="A27" s="11" t="inlineStr">
        <is>
          <t>Less: Recourse debt, current</t>
        </is>
      </c>
      <c r="D27" s="12" t="n">
        <v>-6235</v>
      </c>
      <c r="E27" s="12" t="n">
        <v>-6118</v>
      </c>
    </row>
    <row r="28">
      <c r="A28" s="10" t="inlineStr">
        <is>
          <t>Total recourse debt, non-current</t>
        </is>
      </c>
      <c r="D28" s="12" t="n">
        <v>25170</v>
      </c>
      <c r="E28" s="12" t="n">
        <v>14608</v>
      </c>
    </row>
    <row r="29">
      <c r="A29" s="10" t="inlineStr">
        <is>
          <t>Non-recourse debt:</t>
        </is>
      </c>
    </row>
    <row r="30">
      <c r="A30" s="11" t="inlineStr">
        <is>
          <t>DDTL 4.0 Facility</t>
        </is>
      </c>
      <c r="B30" s="19" t="inlineStr">
        <is>
          <t>Mar 2032</t>
        </is>
      </c>
      <c r="C30" s="20" t="n">
        <v>0.07000000000000001</v>
      </c>
      <c r="D30" s="12" t="n">
        <v>2837</v>
      </c>
      <c r="E30" s="12" t="n">
        <v>0</v>
      </c>
    </row>
    <row r="31">
      <c r="A31" s="11" t="inlineStr">
        <is>
          <t>OEM and Software License Financing Arrangements</t>
        </is>
      </c>
      <c r="B31" s="19" t="inlineStr">
        <is>
          <t>Aug 2026 - Aug 2028</t>
        </is>
      </c>
      <c r="C31" s="20" t="n">
        <v>0.09</v>
      </c>
      <c r="D31" s="12" t="n">
        <v>882</v>
      </c>
      <c r="E31" s="12" t="n">
        <v>647</v>
      </c>
    </row>
    <row r="32">
      <c r="A32" s="11" t="inlineStr">
        <is>
          <t>Less: Unamortized discount and issuance costs</t>
        </is>
      </c>
      <c r="D32" s="12" t="n">
        <v>-56</v>
      </c>
      <c r="E32" s="12" t="n">
        <v>0</v>
      </c>
    </row>
    <row r="33">
      <c r="A33" s="10" t="inlineStr">
        <is>
          <t>Total non-recourse debt, net of unamortized discount and issuance costs</t>
        </is>
      </c>
      <c r="D33" s="12" t="n">
        <v>3663</v>
      </c>
      <c r="E33" s="12" t="n">
        <v>647</v>
      </c>
    </row>
    <row r="34">
      <c r="A34" s="11" t="inlineStr">
        <is>
          <t>Less: Non-recourse debt, current</t>
        </is>
      </c>
      <c r="D34" s="12" t="n">
        <v>-1278</v>
      </c>
      <c r="E34" s="12" t="n">
        <v>-590</v>
      </c>
    </row>
    <row r="35">
      <c r="A35" s="10" t="inlineStr">
        <is>
          <t>Total non-recourse debt, non-current</t>
        </is>
      </c>
      <c r="D35" s="12" t="n">
        <v>2385</v>
      </c>
      <c r="E35" s="12" t="n">
        <v>57</v>
      </c>
    </row>
    <row r="36" ht="30" customHeight="1" s="186">
      <c r="A36" s="188" t="inlineStr">
        <is>
          <t>(1) In June 2026, the Company entered into cross currency interest rate swaps designated as a fair value hedge, to hedge changes in the fair value on the 2032 EUR Senior Notes, attributable to changes in foreign currency exchange rate.</t>
        </is>
      </c>
    </row>
    <row r="38">
      <c r="A38" s="10" t="inlineStr">
        <is>
          <t>Table 2. During the six months ended June 30, 2026, the Company entered into DDTL facilities and issued senior notes as follows (dollars in millions)</t>
        </is>
      </c>
    </row>
    <row r="39">
      <c r="A39" s="17" t="n"/>
      <c r="B39" s="18" t="inlineStr">
        <is>
          <t>Date of Issuance</t>
        </is>
      </c>
      <c r="C39" s="18" t="inlineStr">
        <is>
          <t>Stated Interest Rates(1)</t>
        </is>
      </c>
      <c r="D39" s="18" t="inlineStr">
        <is>
          <t>Amount(2)</t>
        </is>
      </c>
    </row>
    <row r="40">
      <c r="A40" s="11" t="inlineStr">
        <is>
          <t>DDTL 4.0 Facility</t>
        </is>
      </c>
      <c r="B40" s="21" t="inlineStr">
        <is>
          <t>March 2026</t>
        </is>
      </c>
      <c r="C40" s="21" t="inlineStr">
        <is>
          <t>SOFR + 2.25%; Treasury + 2.00%</t>
        </is>
      </c>
      <c r="D40" s="12" t="n">
        <v>8500</v>
      </c>
    </row>
    <row r="41">
      <c r="A41" s="11" t="inlineStr">
        <is>
          <t>DDTL 5.0 Facility</t>
        </is>
      </c>
      <c r="B41" s="21" t="inlineStr">
        <is>
          <t>May 2026</t>
        </is>
      </c>
      <c r="C41" s="21" t="inlineStr">
        <is>
          <t>SOFR + 4.50%</t>
        </is>
      </c>
      <c r="D41" s="12" t="n">
        <v>3100</v>
      </c>
    </row>
    <row r="42">
      <c r="A42" s="11" t="inlineStr">
        <is>
          <t>2031 9.75% Senior Notes</t>
        </is>
      </c>
      <c r="B42" s="21" t="inlineStr">
        <is>
          <t>April 2026</t>
        </is>
      </c>
      <c r="C42" s="21" t="inlineStr">
        <is>
          <t>9.75%</t>
        </is>
      </c>
      <c r="D42" s="12" t="n">
        <v>2750</v>
      </c>
    </row>
    <row r="43">
      <c r="A43" s="11" t="inlineStr">
        <is>
          <t>2032 9.625% Senior Notes</t>
        </is>
      </c>
      <c r="B43" s="21" t="inlineStr">
        <is>
          <t>June 2026</t>
        </is>
      </c>
      <c r="C43" s="21" t="inlineStr">
        <is>
          <t>9.625%</t>
        </is>
      </c>
      <c r="D43" s="12" t="n">
        <v>1250</v>
      </c>
    </row>
    <row r="44">
      <c r="A44" s="11" t="inlineStr">
        <is>
          <t>2032 EUR Senior Notes</t>
        </is>
      </c>
      <c r="B44" s="21" t="inlineStr">
        <is>
          <t>June 2026</t>
        </is>
      </c>
      <c r="C44" s="21" t="inlineStr">
        <is>
          <t>8.50%</t>
        </is>
      </c>
      <c r="D44" s="12" t="n">
        <v>2000</v>
      </c>
      <c r="E44" s="6" t="inlineStr">
        <is>
          <t>€ (source shows € 2,000)</t>
        </is>
      </c>
    </row>
    <row r="45">
      <c r="A45" s="11" t="inlineStr">
        <is>
          <t>2032 Convertible Senior Notes</t>
        </is>
      </c>
      <c r="B45" s="21" t="inlineStr">
        <is>
          <t>April 2026</t>
        </is>
      </c>
      <c r="C45" s="21" t="inlineStr">
        <is>
          <t>1.75%</t>
        </is>
      </c>
      <c r="D45" s="12" t="n">
        <v>4000</v>
      </c>
    </row>
    <row r="46" ht="45" customHeight="1" s="186">
      <c r="A46" s="188" t="inlineStr">
        <is>
          <t>(1) DDTL Facility floating-rate commitments are subject to an interest rate per annum equal to, at the Company's option, either the SOFR or the alternative base rate plus a spread. For the DDTL 4.0 Facility, refer to the Delayed Draw Term Loans below for further details on interest rates.</t>
        </is>
      </c>
    </row>
    <row r="47" ht="15" customHeight="1" s="186">
      <c r="A47" s="188" t="inlineStr">
        <is>
          <t>(2) Amounts represent borrowing capacity for the DDTL Facilities and the principal amounts for the Senior Notes.</t>
        </is>
      </c>
    </row>
    <row r="49">
      <c r="A49" s="10" t="inlineStr">
        <is>
          <t>Table 3. As of June 30, 2026, the future principal payments for the Company's total debt were as follows (in millions)</t>
        </is>
      </c>
    </row>
    <row r="50">
      <c r="A50" s="8" t="inlineStr">
        <is>
          <t>Years Ending December 31,</t>
        </is>
      </c>
      <c r="B50" s="18" t="inlineStr">
        <is>
          <t>Amount</t>
        </is>
      </c>
    </row>
    <row r="51">
      <c r="A51" s="11" t="inlineStr">
        <is>
          <t>Remaining portion of 2026</t>
        </is>
      </c>
      <c r="B51" s="12" t="n">
        <v>4413</v>
      </c>
    </row>
    <row r="52">
      <c r="A52" s="11" t="inlineStr">
        <is>
          <t>2027</t>
        </is>
      </c>
      <c r="B52" s="12" t="n">
        <v>6184</v>
      </c>
    </row>
    <row r="53">
      <c r="A53" s="11" t="inlineStr">
        <is>
          <t>2028</t>
        </is>
      </c>
      <c r="B53" s="12" t="n">
        <v>4416</v>
      </c>
    </row>
    <row r="54">
      <c r="A54" s="11" t="inlineStr">
        <is>
          <t>2029</t>
        </is>
      </c>
      <c r="B54" s="12" t="n">
        <v>2421</v>
      </c>
    </row>
    <row r="55">
      <c r="A55" s="11" t="inlineStr">
        <is>
          <t>2030</t>
        </is>
      </c>
      <c r="B55" s="12" t="n">
        <v>3221</v>
      </c>
    </row>
    <row r="56">
      <c r="A56" s="11" t="inlineStr">
        <is>
          <t>Thereafter</t>
        </is>
      </c>
      <c r="B56" s="12" t="n">
        <v>14896</v>
      </c>
    </row>
    <row r="57">
      <c r="A57" s="10" t="inlineStr">
        <is>
          <t>Total</t>
        </is>
      </c>
      <c r="B57" s="12" t="n">
        <v>35551</v>
      </c>
    </row>
    <row r="59">
      <c r="A59" s="10" t="inlineStr">
        <is>
          <t>Table 4. The total interest expense for the Company's debt obligations was as follows (in millions)</t>
        </is>
      </c>
    </row>
    <row r="60">
      <c r="A60" s="17" t="n"/>
      <c r="B60" s="187" t="inlineStr">
        <is>
          <t>Three Months Ended June 30,</t>
        </is>
      </c>
      <c r="D60" s="187" t="inlineStr">
        <is>
          <t>Six Months Ended June 30,</t>
        </is>
      </c>
    </row>
    <row r="61">
      <c r="A61" s="17" t="n"/>
      <c r="B61" s="18" t="inlineStr">
        <is>
          <t>2026</t>
        </is>
      </c>
      <c r="C61" s="18" t="inlineStr">
        <is>
          <t>2025</t>
        </is>
      </c>
      <c r="D61" s="18" t="inlineStr">
        <is>
          <t>2026</t>
        </is>
      </c>
      <c r="E61" s="18" t="inlineStr">
        <is>
          <t>2025</t>
        </is>
      </c>
    </row>
    <row r="62">
      <c r="A62" s="11" t="inlineStr">
        <is>
          <t>Contractual interest expense</t>
        </is>
      </c>
      <c r="B62" s="12" t="n">
        <v>592</v>
      </c>
      <c r="C62" s="12" t="n">
        <v>250</v>
      </c>
      <c r="D62" s="12" t="n">
        <v>1075</v>
      </c>
      <c r="E62" s="12" t="n">
        <v>483</v>
      </c>
    </row>
    <row r="63">
      <c r="A63" s="11" t="inlineStr">
        <is>
          <t>Amortization of debt discounts and issuance costs and accretion of redemption premiums</t>
        </is>
      </c>
      <c r="B63" s="12" t="n">
        <v>45</v>
      </c>
      <c r="C63" s="12" t="n">
        <v>29</v>
      </c>
      <c r="D63" s="12" t="n">
        <v>86</v>
      </c>
      <c r="E63" s="12" t="n">
        <v>67</v>
      </c>
    </row>
    <row r="64">
      <c r="A64" s="11" t="inlineStr">
        <is>
          <t>Less: capitalized interest</t>
        </is>
      </c>
      <c r="B64" s="12" t="n">
        <v>-79</v>
      </c>
      <c r="C64" s="12" t="n">
        <v>-23</v>
      </c>
      <c r="D64" s="12" t="n">
        <v>-176</v>
      </c>
      <c r="E64" s="12" t="n">
        <v>-36</v>
      </c>
    </row>
    <row r="65">
      <c r="A65" s="10" t="inlineStr">
        <is>
          <t>Total</t>
        </is>
      </c>
      <c r="B65" s="12" t="n">
        <v>558</v>
      </c>
      <c r="C65" s="12" t="n">
        <v>256</v>
      </c>
      <c r="D65" s="12" t="n">
        <v>985</v>
      </c>
      <c r="E65" s="12" t="n">
        <v>514</v>
      </c>
    </row>
    <row r="67">
      <c r="A67" s="10" t="inlineStr">
        <is>
          <t>Table 5. MD&amp;A - Liquidity and Capital Resources (in millions)</t>
        </is>
      </c>
    </row>
    <row r="68" ht="45" customHeight="1" s="186">
      <c r="A68" s="188" t="inlineStr">
        <is>
          <t>Our operations have been financed primarily through net proceeds from sales of our equity securities, including in our IPO, and from borrowings pursuant to our Credit Facilities and the issuances of debt securities. The following table summarizes our principal sources of liquidity for the periods presented (in millions):</t>
        </is>
      </c>
    </row>
    <row r="69">
      <c r="A69" s="17" t="n"/>
      <c r="B69" s="18" t="inlineStr">
        <is>
          <t>June 30,2026</t>
        </is>
      </c>
      <c r="C69" s="18" t="inlineStr">
        <is>
          <t>December 31,2025</t>
        </is>
      </c>
    </row>
    <row r="70">
      <c r="A70" s="11" t="inlineStr">
        <is>
          <t>Cash and cash equivalents</t>
        </is>
      </c>
      <c r="B70" s="12" t="n">
        <v>5524</v>
      </c>
      <c r="C70" s="12" t="n">
        <v>3127</v>
      </c>
    </row>
    <row r="71">
      <c r="A71" s="11" t="inlineStr">
        <is>
          <t>Marketable securities</t>
        </is>
      </c>
      <c r="B71" s="12" t="n">
        <v>15</v>
      </c>
      <c r="C71" s="12" t="n">
        <v>34</v>
      </c>
    </row>
    <row r="72">
      <c r="A72" s="11" t="inlineStr">
        <is>
          <t>Availability under existing facilities(1)</t>
        </is>
      </c>
      <c r="B72" s="12" t="n">
        <v>10014</v>
      </c>
      <c r="C72" s="12" t="n">
        <v>3701</v>
      </c>
    </row>
    <row r="73">
      <c r="A73" s="10" t="inlineStr">
        <is>
          <t>Total liquidity</t>
        </is>
      </c>
      <c r="B73" s="12" t="n">
        <v>15553</v>
      </c>
      <c r="C73" s="12" t="n">
        <v>6862</v>
      </c>
    </row>
    <row r="74" ht="15" customHeight="1" s="186">
      <c r="A74" s="188" t="inlineStr">
        <is>
          <t>(1)Refers to secured commitments under the revolving credit facility and delayed draw term loan agreements.</t>
        </is>
      </c>
    </row>
    <row r="76">
      <c r="A76" s="13" t="inlineStr">
        <is>
          <t>Checks (added by us, NOT part of the 10-Q) - all should be 0</t>
        </is>
      </c>
      <c r="B76" s="14" t="n"/>
      <c r="C76" s="14" t="n"/>
      <c r="D76" s="14" t="n"/>
      <c r="E76" s="14" t="n"/>
    </row>
    <row r="77">
      <c r="A77" s="11" t="inlineStr">
        <is>
          <t>Recourse facilities - discount = total recourse (Jun / Dec)</t>
        </is>
      </c>
      <c r="D77" s="15">
        <f>SUM(D9:D25)-D26</f>
        <v/>
      </c>
      <c r="E77" s="15">
        <f>SUM(E9:E25)-E26</f>
        <v/>
      </c>
    </row>
    <row r="78">
      <c r="A78" s="11" t="inlineStr">
        <is>
          <t>Total recourse - current = non-current</t>
        </is>
      </c>
      <c r="D78" s="15">
        <f>D26+D27-D28</f>
        <v/>
      </c>
      <c r="E78" s="15">
        <f>E26+E27-E28</f>
        <v/>
      </c>
    </row>
    <row r="79">
      <c r="A79" s="11" t="inlineStr">
        <is>
          <t>Non-recourse facilities - discount = total non-recourse</t>
        </is>
      </c>
      <c r="D79" s="15">
        <f>SUM(D30:D32)-D33</f>
        <v/>
      </c>
      <c r="E79" s="15">
        <f>SUM(E30:E32)-E33</f>
        <v/>
      </c>
    </row>
    <row r="80">
      <c r="A80" s="11" t="inlineStr">
        <is>
          <t>Total non-recourse - current = non-current</t>
        </is>
      </c>
      <c r="D80" s="15">
        <f>D33+D34-D35</f>
        <v/>
      </c>
      <c r="E80" s="15">
        <f>E33+E34-E35</f>
        <v/>
      </c>
    </row>
    <row r="81">
      <c r="A81" s="11" t="inlineStr">
        <is>
          <t>Recourse current vs 10Q_BS</t>
        </is>
      </c>
      <c r="D81" s="15">
        <f>-D27-'10Q_BS'!B24</f>
        <v/>
      </c>
      <c r="E81" s="15">
        <f>-E27-'10Q_BS'!C24</f>
        <v/>
      </c>
    </row>
    <row r="82">
      <c r="A82" s="11" t="inlineStr">
        <is>
          <t>Recourse non-current vs 10Q_BS</t>
        </is>
      </c>
      <c r="D82" s="15">
        <f>D28-'10Q_BS'!B31</f>
        <v/>
      </c>
      <c r="E82" s="15">
        <f>E28-'10Q_BS'!C31</f>
        <v/>
      </c>
    </row>
    <row r="83">
      <c r="A83" s="11" t="inlineStr">
        <is>
          <t>Non-recourse current vs 10Q_BS</t>
        </is>
      </c>
      <c r="D83" s="15">
        <f>-D34-'10Q_BS'!B25</f>
        <v/>
      </c>
      <c r="E83" s="15">
        <f>-E34-'10Q_BS'!C25</f>
        <v/>
      </c>
    </row>
    <row r="84">
      <c r="A84" s="11" t="inlineStr">
        <is>
          <t>Non-recourse non-current vs 10Q_BS</t>
        </is>
      </c>
      <c r="D84" s="15">
        <f>D35-'10Q_BS'!B32</f>
        <v/>
      </c>
      <c r="E84" s="15">
        <f>E35-'10Q_BS'!C32</f>
        <v/>
      </c>
    </row>
    <row r="85">
      <c r="A85" s="11" t="inlineStr">
        <is>
          <t>Maturity schedule: years add up to Total</t>
        </is>
      </c>
      <c r="B85" s="15">
        <f>SUM(B51:B56)-B57</f>
        <v/>
      </c>
    </row>
    <row r="86">
      <c r="A86" s="11" t="inlineStr">
        <is>
          <t>Principal BEFORE discounts (Table 1, Jun) = maturity Total</t>
        </is>
      </c>
      <c r="B86" s="15">
        <f>SUM(D9:D24)+SUM(D30:D31)-B57</f>
        <v/>
      </c>
    </row>
    <row r="87">
      <c r="A87" s="11" t="inlineStr">
        <is>
          <t>Interest components add up to Total</t>
        </is>
      </c>
      <c r="B87" s="15">
        <f>SUM(B62:B64)-B65</f>
        <v/>
      </c>
      <c r="C87" s="15">
        <f>SUM(C62:C64)-C65</f>
        <v/>
      </c>
      <c r="D87" s="15">
        <f>SUM(D62:D64)-D65</f>
        <v/>
      </c>
      <c r="E87" s="15">
        <f>SUM(E62:E64)-E65</f>
        <v/>
      </c>
    </row>
    <row r="88">
      <c r="A88" s="11" t="inlineStr">
        <is>
          <t>Liquidity components add up to Total</t>
        </is>
      </c>
      <c r="B88" s="15">
        <f>SUM(B70:B72)-B73</f>
        <v/>
      </c>
      <c r="C88" s="15">
        <f>SUM(C70:C72)-C73</f>
        <v/>
      </c>
    </row>
    <row r="89">
      <c r="A89" s="11" t="inlineStr">
        <is>
          <t>Liquidity cash vs 10Q_BS cash</t>
        </is>
      </c>
      <c r="B89" s="15">
        <f>B70-'10Q_BS'!B8</f>
        <v/>
      </c>
      <c r="C89" s="15">
        <f>C70-'10Q_BS'!C8</f>
        <v/>
      </c>
    </row>
  </sheetData>
  <mergeCells count="7">
    <mergeCell ref="D60:E60"/>
    <mergeCell ref="A68:E68"/>
    <mergeCell ref="A47:E47"/>
    <mergeCell ref="B60:C60"/>
    <mergeCell ref="A46:E46"/>
    <mergeCell ref="A36:E36"/>
    <mergeCell ref="A74:E74"/>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C73"/>
  <sheetViews>
    <sheetView showGridLines="0" zoomScaleNormal="100" workbookViewId="0">
      <pane ySplit="6" topLeftCell="A11" activePane="bottomLeft" state="frozen"/>
      <selection pane="bottomLeft" activeCell="A1" sqref="A1"/>
    </sheetView>
  </sheetViews>
  <sheetFormatPr baseColWidth="10" defaultColWidth="8.6640625" defaultRowHeight="15"/>
  <cols>
    <col width="5" customWidth="1" style="186" min="1" max="1"/>
    <col width="30" customWidth="1" style="186" min="2" max="2"/>
    <col width="130" customWidth="1" style="186" min="3" max="3"/>
  </cols>
  <sheetData>
    <row r="1" ht="16.5" customHeight="1" s="186">
      <c r="A1" s="5" t="inlineStr">
        <is>
          <t>10-Q Q2 2026 - Note 10 Debt (full text)</t>
        </is>
      </c>
    </row>
    <row r="2">
      <c r="A2" s="6" t="inlineStr">
        <is>
          <t>Source: 10-Q filed 2026-08-12, R16.htm 'Debt'</t>
        </is>
      </c>
    </row>
    <row r="3">
      <c r="A3" s="6" t="inlineStr">
        <is>
          <t>https://www.sec.gov/Archives/edgar/data/1769628/000176962826000366/R16.htm</t>
        </is>
      </c>
    </row>
    <row r="4" ht="42" customHeight="1" s="186">
      <c r="A4" s="188" t="inlineStr">
        <is>
          <t>Full note text, word for word, one paragraph per row, in the original order. Column B repeats the nearest heading above (navigation only). Where SEC splits a paragraph across a page break it stays split. [TABLE] = a table in the note: the first four are copied as numbers in 10Q_Debt (Tables 1-4); the last one (DCSP financing obligation) is not copied.</t>
        </is>
      </c>
    </row>
    <row r="6">
      <c r="A6" s="8" t="inlineStr">
        <is>
          <t>¶</t>
        </is>
      </c>
      <c r="B6" s="8" t="inlineStr">
        <is>
          <t>Section (heading in source)</t>
        </is>
      </c>
      <c r="C6" s="8" t="inlineStr">
        <is>
          <t>Text (verbatim)</t>
        </is>
      </c>
    </row>
    <row r="7" ht="13.5" customHeight="1" s="186">
      <c r="A7" s="6" t="n">
        <v>1</v>
      </c>
      <c r="B7" s="188" t="inlineStr">
        <is>
          <t>(note intro)</t>
        </is>
      </c>
      <c r="C7" s="22" t="inlineStr">
        <is>
          <t>The total debt obligations are as follows (dollars in millions):</t>
        </is>
      </c>
    </row>
    <row r="8" ht="25.5" customHeight="1" s="186">
      <c r="A8" s="6" t="n">
        <v>2</v>
      </c>
      <c r="B8" s="188" t="inlineStr">
        <is>
          <t>(note intro)</t>
        </is>
      </c>
      <c r="C8" s="22" t="inlineStr">
        <is>
          <t>(1) In June 2026, the Company entered into cross currency interest rate swaps designated as a fair value hedge, to hedge changes in the fair value on the 2032 EUR Senior Notes, attributable to changes in foreign currency exchange rate.</t>
        </is>
      </c>
    </row>
    <row r="9" ht="13.5" customHeight="1" s="186">
      <c r="A9" s="6" t="n">
        <v>3</v>
      </c>
      <c r="B9" s="188" t="inlineStr">
        <is>
          <t>(note intro)</t>
        </is>
      </c>
      <c r="C9" s="188" t="inlineStr">
        <is>
          <t>[TABLE]</t>
        </is>
      </c>
    </row>
    <row r="10" ht="25.5" customHeight="1" s="186">
      <c r="A10" s="6" t="n">
        <v>4</v>
      </c>
      <c r="B10" s="188" t="inlineStr">
        <is>
          <t>(note intro)</t>
        </is>
      </c>
      <c r="C10" s="22" t="inlineStr">
        <is>
          <t>As of June 30, 2026, the Company's weighted-average interest rate on short-term debt instruments related to certain of the OEM Financing Arrangements was 9%.</t>
        </is>
      </c>
    </row>
    <row r="11" ht="90.75" customHeight="1" s="186">
      <c r="A11" s="6" t="n">
        <v>5</v>
      </c>
      <c r="B11" s="188" t="inlineStr">
        <is>
          <t>(note intro)</t>
        </is>
      </c>
      <c r="C11" s="22" t="inlineStr">
        <is>
          <t>Non-recourse debt represents debt facilities and financing arrangements entered into by certain of the Company’s subsidiaries for which recourse is limited to the assets of the applicable subsidiaries. CoreWeave, Inc., the ultimate parent company, is not otherwise liable for such debt, except in cases where the Company provides limited guarantees under which recourse may arise only upon specified events, such as actual fraud, willful misconduct, misappropriation of collateral, certain voluntary or consented bankruptcy actions, or other customary non-recourse carve-out obligations. These limited guarantees do not represent general guarantees of repayment of principal, interest or other ordinary debt service payments. Recourse debt represents debt facilities and financing arrangements that are either direct obligations of</t>
        </is>
      </c>
    </row>
    <row r="12" ht="25.5" customHeight="1" s="186">
      <c r="A12" s="6" t="n">
        <v>6</v>
      </c>
      <c r="B12" s="188" t="inlineStr">
        <is>
          <t>(note intro)</t>
        </is>
      </c>
      <c r="C12" s="22" t="inlineStr">
        <is>
          <t>CoreWeave, Inc. or obligations of certain of the Company’s subsidiaries that are unconditionally and irrevocably guaranteed by CoreWeave, Inc.</t>
        </is>
      </c>
    </row>
    <row r="13" ht="13.5" customHeight="1" s="186">
      <c r="A13" s="6" t="n">
        <v>7</v>
      </c>
      <c r="B13" s="188" t="inlineStr">
        <is>
          <t>(note intro)</t>
        </is>
      </c>
      <c r="C13" s="22" t="inlineStr">
        <is>
          <t>As of June 30, 2026, the future principal payments for the Company's total debt were as follows (in millions):</t>
        </is>
      </c>
    </row>
    <row r="14" ht="13.5" customHeight="1" s="186">
      <c r="A14" s="6" t="n">
        <v>8</v>
      </c>
      <c r="B14" s="188" t="inlineStr">
        <is>
          <t>(note intro)</t>
        </is>
      </c>
      <c r="C14" s="188" t="inlineStr">
        <is>
          <t>[TABLE]</t>
        </is>
      </c>
    </row>
    <row r="15" ht="13.5" customHeight="1" s="186">
      <c r="A15" s="6" t="n">
        <v>9</v>
      </c>
      <c r="B15" s="188" t="inlineStr">
        <is>
          <t>(note intro)</t>
        </is>
      </c>
      <c r="C15" s="22" t="inlineStr">
        <is>
          <t>The total interest expense for the Company's debt obligations was as follows (in millions):</t>
        </is>
      </c>
    </row>
    <row r="16" ht="13.5" customHeight="1" s="186">
      <c r="A16" s="6" t="n">
        <v>10</v>
      </c>
      <c r="B16" s="188" t="inlineStr">
        <is>
          <t>(note intro)</t>
        </is>
      </c>
      <c r="C16" s="188" t="inlineStr">
        <is>
          <t>[TABLE]</t>
        </is>
      </c>
    </row>
    <row r="17" ht="25.5" customHeight="1" s="186">
      <c r="A17" s="6" t="n">
        <v>11</v>
      </c>
      <c r="B17" s="188" t="inlineStr">
        <is>
          <t>(note intro)</t>
        </is>
      </c>
      <c r="C17" s="22" t="inlineStr">
        <is>
          <t>During the six months ended June 30, 2026, the Company entered into DDTL facilities and issued senior notes (each as defined in this Note 10—Debt) as follows (dollars in millions):</t>
        </is>
      </c>
    </row>
    <row r="18" ht="13.5" customHeight="1" s="186">
      <c r="A18" s="6" t="n">
        <v>12</v>
      </c>
      <c r="B18" s="188" t="inlineStr">
        <is>
          <t>(note intro)</t>
        </is>
      </c>
      <c r="C18" s="188" t="inlineStr">
        <is>
          <t>[TABLE]</t>
        </is>
      </c>
    </row>
    <row r="19" ht="39" customHeight="1" s="186">
      <c r="A19" s="6" t="n">
        <v>13</v>
      </c>
      <c r="B19" s="188" t="inlineStr">
        <is>
          <t>(note intro)</t>
        </is>
      </c>
      <c r="C19" s="22" t="inlineStr">
        <is>
          <t>(1) DDTL Facility floating-rate commitments are subject to an interest rate per annum equal to, at the Company's option, either the SOFR or the alternative base rate plus a spread. For the DDTL 4.0 Facility, refer to the Delayed Draw Term Loans below for further details on interest rates.</t>
        </is>
      </c>
    </row>
    <row r="20" ht="13.5" customHeight="1" s="186">
      <c r="A20" s="6" t="n">
        <v>14</v>
      </c>
      <c r="B20" s="188" t="inlineStr">
        <is>
          <t>(note intro)</t>
        </is>
      </c>
      <c r="C20" s="22" t="inlineStr">
        <is>
          <t>(2) Amounts represent borrowing capacity for the DDTL Facilities and the principal amounts for the Senior Notes.</t>
        </is>
      </c>
    </row>
    <row r="21" ht="13.5" customHeight="1" s="186">
      <c r="A21" s="6" t="n">
        <v>15</v>
      </c>
      <c r="B21" s="188" t="inlineStr">
        <is>
          <t>Delayed Draw Term Loans ("DDTL")</t>
        </is>
      </c>
      <c r="C21" s="23" t="inlineStr">
        <is>
          <t>Delayed Draw Term Loans ("DDTL")</t>
        </is>
      </c>
    </row>
    <row r="22" ht="103.5" customHeight="1" s="186">
      <c r="A22" s="6" t="n">
        <v>16</v>
      </c>
      <c r="B22" s="188" t="inlineStr">
        <is>
          <t>Delayed Draw Term Loans ("DDTL")</t>
        </is>
      </c>
      <c r="C22" s="22" t="inlineStr">
        <is>
          <t>In March 2026, one of the Company's subsidiaries, CoreWeave Compute Acquisition Co. VIII, LLC ("CCAC VIII"), entered into a delayed draw term loan facility agreement with various lenders and MUFG Bank, LTD., as the administrative agent. The agreement provides an $8.5 billion delayed draw term loan facility (the “DDTL 4.0 Facility”) available in one or more draws through June 30, 2027, the commitment termination date. As of June 30, 2026, the facility has $1.4 billion of outstanding floating-rate loan and $1.5 billion of outstanding fixed-rate loan. Amounts borrowed under the floating-rate commitments bear interest, at the Company’s option, at daily compounded SOFR plus 2.25% per annum or the alternative base rate plus 1.25% per annum. Amounts borrowed under the fixed-rate commitments bear interest at 2.00% per annum plus a blended rate based upon the applicable United States Treasury securities per the credit agreement at the time of the borrowing.</t>
        </is>
      </c>
    </row>
    <row r="23" ht="117" customHeight="1" s="186">
      <c r="A23" s="6" t="n">
        <v>17</v>
      </c>
      <c r="B23" s="188" t="inlineStr">
        <is>
          <t>Delayed Draw Term Loans ("DDTL")</t>
        </is>
      </c>
      <c r="C23" s="22" t="inlineStr">
        <is>
          <t>The DDTL 4.0 Facility matures in March 2032. Principal is payable monthly beginning on the first payment date following the earliest of (i) the commitment termination date, (ii) the applicable amortization commencement date for each data center site that did not meet certain delivery requirements by a specified date (each, a “delayed data center site amortization date”), and (iii) for data center sites that met such delivery requirements, the date of any related incremental draw (each, a “top-up draw date”). Any remaining unpaid principal is due at maturity. The timing and amount of future principal payments, including the determination of the current portion of the outstanding balance, require management judgment and are based on the Company’s best estimates of the occurrence and timing of these events and related payment obligations. The Company is also required to pay an undrawn fee of 0.50% per annum on the undrawn portion of the commitments through the end of the availability period. In conjunction with the issuance of the DDTL 4.0 Facility, the Company capitalized $151 million in deferred financing costs.</t>
        </is>
      </c>
    </row>
    <row r="24" ht="51.75" customHeight="1" s="186">
      <c r="A24" s="6" t="n">
        <v>18</v>
      </c>
      <c r="B24" s="188" t="inlineStr">
        <is>
          <t>Delayed Draw Term Loans ("DDTL")</t>
        </is>
      </c>
      <c r="C24" s="22" t="inlineStr">
        <is>
          <t>Borrowings under the DDTL 4.0 Facility are primarily used to finance the acquisition and installation of computing infrastructure and related fees and expenses and are subject to borrowing conditions and debt-sizing limitations tied to the purchase price of eligible assets for which the loans are being used to finance with such percentage based upon the depreciable cost of computing equipment, projected debt service coverage and project-level conditions.</t>
        </is>
      </c>
    </row>
    <row r="25" ht="39" customHeight="1" s="186">
      <c r="A25" s="6" t="n">
        <v>19</v>
      </c>
      <c r="B25" s="188" t="inlineStr">
        <is>
          <t>Delayed Draw Term Loans ("DDTL")</t>
        </is>
      </c>
      <c r="C25" s="22" t="inlineStr">
        <is>
          <t>The DDTL 4.0 Facility also requires the Company to enter into interest rate hedge agreements covering at least 95% of reasonably anticipated outstanding floating-rate borrowings within specified time periods following the commitment termination date. In addition, the agreement includes certain power cost hedging requirements.</t>
        </is>
      </c>
    </row>
    <row r="26" ht="39" customHeight="1" s="186">
      <c r="A26" s="6" t="n">
        <v>20</v>
      </c>
      <c r="B26" s="188" t="inlineStr">
        <is>
          <t>Delayed Draw Term Loans ("DDTL")</t>
        </is>
      </c>
      <c r="C26" s="22" t="inlineStr">
        <is>
          <t>The outstanding loan amounts are prepayable at any time, from time to time, at the Company's option, and are required to be prepaid upon the occurrence of an event of default or change in control as defined in the credit agreement, or with the proceeds of certain asset dispositions or incurrences of indebtedness.</t>
        </is>
      </c>
    </row>
    <row r="27" ht="64.5" customHeight="1" s="186">
      <c r="A27" s="6" t="n">
        <v>21</v>
      </c>
      <c r="B27" s="188" t="inlineStr">
        <is>
          <t>Delayed Draw Term Loans ("DDTL")</t>
        </is>
      </c>
      <c r="C27" s="22" t="inlineStr">
        <is>
          <t>Obligations outstanding under the DDTL 4.0 Facility are secured by perfected first priority pledges of and security interests in (i) the equity interests of CCAC VIII held by its direct parent and (ii) substantially all of the assets of CCAC VIII. As of June 30, 2026 the assets of CCAC VIII securing the DDTL 4.0 Facility consisted of $3.3 billion of non-current assets, primarily consisting of property and equipment, net, and $155 million of current assets, primarily consisting of restricted cash and cash equivalents. The DDTL 4.0 Facility is non-recourse, except for limited guarantees related to customary non-recourse carve-out obligations.</t>
        </is>
      </c>
    </row>
    <row r="28" ht="51.75" customHeight="1" s="186">
      <c r="A28" s="6" t="n">
        <v>22</v>
      </c>
      <c r="B28" s="188" t="inlineStr">
        <is>
          <t>Delayed Draw Term Loans ("DDTL")</t>
        </is>
      </c>
      <c r="C28" s="22" t="inlineStr">
        <is>
          <t>The DDTL 4.0 Facility contains covenants that restrict the ability of CCAC VIII and/or its subsidiaries to incur or guarantee additional indebtedness; pay dividends and make other distributions or repurchase stock; make certain investments; create or incur liens; sell assets; enter into certain transactions with affiliates; and merge, consolidate, transfer, or sell all or substantially all of its assets.</t>
        </is>
      </c>
    </row>
    <row r="29" ht="39" customHeight="1" s="186">
      <c r="A29" s="6" t="n">
        <v>23</v>
      </c>
      <c r="B29" s="188" t="inlineStr">
        <is>
          <t>Delayed Draw Term Loans ("DDTL")</t>
        </is>
      </c>
      <c r="C29" s="22" t="inlineStr">
        <is>
          <t>The DDTL 4.0 Facility requires the maintenance of restricted cash balances primarily based on a forward-looking three-month coverage of scheduled cash interest and principal payments, periodic swap settlements, and operating expenses. Following the commitment termination date, the requirement is based on the maximum projected three-month amounts of such obligations through the term maturity date.</t>
        </is>
      </c>
    </row>
    <row r="30" ht="117" customHeight="1" s="186">
      <c r="A30" s="6" t="n">
        <v>24</v>
      </c>
      <c r="B30" s="188" t="inlineStr">
        <is>
          <t>Delayed Draw Term Loans ("DDTL")</t>
        </is>
      </c>
      <c r="C30" s="22" t="inlineStr">
        <is>
          <t>In May 2026, one of the Company's subsidiaries, CoreWeave Financing DDTL V, LLC ("CFD V") entered into a delayed draw term loan facility agreement with various lenders and Morgan Stanley Senior Funding, Inc., as the administrative agent. The agreement provides a $3.1 billion delayed draw term loan facility (the “DDTL 5.0 Facility”) available in one or more draws through September 30, 2026, the commitment termination date. The principal amount of the DDTL 5.0 Facility is required to be repaid in monthly installments, beginning in November 2026, with the expected final payment due in May 2031. The Company is required to pay a fee of 0.50% per annum on the undrawn commitment. As of June 30, 2026, the Company had capitalized $25 million of debt discount and issuance costs associated with the DDTL 5.0 facility. Under the DDTL 5.0 Facility, the Company is required to enter into interest rate swap agreements within specified time periods following the closing date covering a notional amount of not less than 95% of the reasonably anticipated outstanding floating-rate loans until the maturity date.</t>
        </is>
      </c>
    </row>
    <row r="31" ht="64.5" customHeight="1" s="186">
      <c r="A31" s="6" t="n">
        <v>25</v>
      </c>
      <c r="B31" s="188" t="inlineStr">
        <is>
          <t>Delayed Draw Term Loans ("DDTL")</t>
        </is>
      </c>
      <c r="C31" s="22" t="inlineStr">
        <is>
          <t>The DDTL 5.0 Facility is constrained by the purchase price of assets for which the loans are being used to finance with such percentage based upon the depreciable cost of graphics processing unit servers. Borrowings under the DDTL 5.0 Facility are used to finance a portion of the purchase considerations, fees, and expenses relating to the acquisition of computing equipment. Obligations outstanding under the DDTL 5.0 Facility are secured by perfected first priority pledges of and security interests in (i) the equity interests of the respective subsidiaries held by its direct parent and (ii) substantially all of the assets of the respective subsidiaries.</t>
        </is>
      </c>
    </row>
    <row r="32" ht="39" customHeight="1" s="186">
      <c r="A32" s="6" t="n">
        <v>26</v>
      </c>
      <c r="B32" s="188" t="inlineStr">
        <is>
          <t>Delayed Draw Term Loans ("DDTL")</t>
        </is>
      </c>
      <c r="C32" s="22" t="inlineStr">
        <is>
          <t>The outstanding loan amounts are prepayable at any time, from time to time, at the Company's option, and are required to be prepaid upon the occurrence of an event of default or change of control of the Company, or with the proceeds of certain asset dispositions or incurrences of indebtedness.</t>
        </is>
      </c>
    </row>
    <row r="33" ht="51.75" customHeight="1" s="186">
      <c r="A33" s="6" t="n">
        <v>27</v>
      </c>
      <c r="B33" s="188" t="inlineStr">
        <is>
          <t>Delayed Draw Term Loans ("DDTL")</t>
        </is>
      </c>
      <c r="C33" s="22" t="inlineStr">
        <is>
          <t>Furthermore, all obligations under the DDTL 5.0 Facility are unconditionally guaranteed by the Company. They contain covenants that restrict the ability of the Company and/or the respective subsidiaries to incur or guarantee additional indebtedness; pay dividends and make other distributions or repurchase stock; make certain investments; create or incur liens; sell assets; enter into certain transactions with affiliates; and merge, consolidate, transfer, or sell all or substantially all of its assets.</t>
        </is>
      </c>
    </row>
    <row r="34" ht="51.75" customHeight="1" s="186">
      <c r="A34" s="6" t="n">
        <v>28</v>
      </c>
      <c r="B34" s="188" t="inlineStr">
        <is>
          <t>Delayed Draw Term Loans ("DDTL")</t>
        </is>
      </c>
      <c r="C34" s="22" t="inlineStr">
        <is>
          <t>The carrying value of the fixed-rate borrowing under the DDTL 4.0 Facility approximates its estimated fair value, which was determined using a discounted cash flow method based on current market rates and is categorized as Level 3 in the fair value hierarchy. The carrying value of the variable-rate borrowings under the delayed draw term loans approximates fair value because the interest rates reset periodically to market rates.</t>
        </is>
      </c>
    </row>
    <row r="35" ht="13.5" customHeight="1" s="186">
      <c r="A35" s="6" t="n">
        <v>29</v>
      </c>
      <c r="B35" s="188" t="inlineStr">
        <is>
          <t>Delayed Draw Term Loans ("DDTL")</t>
        </is>
      </c>
      <c r="C35" s="22" t="inlineStr">
        <is>
          <t>As of June 30, 2026, the Company was in compliance with all covenants under its delayed draw term loan facility agreements.</t>
        </is>
      </c>
    </row>
    <row r="36" ht="78" customHeight="1" s="186">
      <c r="A36" s="6" t="n">
        <v>30</v>
      </c>
      <c r="B36" s="188" t="inlineStr">
        <is>
          <t>Delayed Draw Term Loans ("DDTL")</t>
        </is>
      </c>
      <c r="C36" s="22" t="inlineStr">
        <is>
          <t>In addition to DDTL 4.0, certain of the Company's debt facilities are entered into by bankruptcy-remote, special-purpose consolidated subsidiaries formed to hold the financed infrastructure and the related customer contracts. Certain assets of these consolidated entities may be used only to settle the obligations of those entities. As of June 30, 2026, the debt of these entities was secured by $18.2 billion of non-current assets, primarily consisting of property and equipment, net, and $2.6 billion of current assets primarily consisting of accounts receivable and restricted cash and cash equivalents, which is included in the Company’s condensed consolidated balance sheets. As of December 31, 2025, these balances were $12.7 billion and $1.8 billion, respectively.</t>
        </is>
      </c>
    </row>
    <row r="37" ht="13.5" customHeight="1" s="186">
      <c r="A37" s="6" t="n">
        <v>31</v>
      </c>
      <c r="B37" s="188" t="inlineStr">
        <is>
          <t>Revolving Credit Facility</t>
        </is>
      </c>
      <c r="C37" s="23" t="inlineStr">
        <is>
          <t>Revolving Credit Facility</t>
        </is>
      </c>
    </row>
    <row r="38" ht="64.5" customHeight="1" s="186">
      <c r="A38" s="6" t="n">
        <v>32</v>
      </c>
      <c r="B38" s="188" t="inlineStr">
        <is>
          <t>Revolving Credit Facility</t>
        </is>
      </c>
      <c r="C38" s="22" t="inlineStr">
        <is>
          <t>As of June 30, 2026 and December 31, 2025, the outstanding balances associated with letters of credit were $533 million and $294 million, respectively. The letters of credit issued were primarily in support of certain lease obligations from separate lease agreements. These letters of credit remain outstanding, continue to secure the related lease obligations, and reduce availability under the senior secured revolving credit facility (as amended, the "Revolving Credit Facility"), with no change to the underlying lease terms or obligations. These letters of credit renew annually and expire on various dates through 2037.</t>
        </is>
      </c>
    </row>
    <row r="39" ht="64.5" customHeight="1" s="186">
      <c r="A39" s="6" t="n">
        <v>33</v>
      </c>
      <c r="B39" s="188" t="inlineStr">
        <is>
          <t>Revolving Credit Facility</t>
        </is>
      </c>
      <c r="C39" s="22" t="inlineStr">
        <is>
          <t>In April 2026, the Company repaid the remaining balance under the Revolving Credit Facility that was previously outstanding. As of June 30, 2026, the Company had no borrowings outstanding under the Revolving Credit Facility and had $2.0 billion of remaining capacity. As of December 31, 2025, the Company had drawn $1.0 billion and had $1.2 billion of remaining capacity under the Revolving Credit Facility. Obligations outstanding under the Revolving Credit Facility are secured by pledges of certain assets as collateral. The Company is required to pay a fee of 0.25% per annum on the undrawn commitment.</t>
        </is>
      </c>
    </row>
    <row r="40" ht="13.5" customHeight="1" s="186">
      <c r="A40" s="6" t="n">
        <v>34</v>
      </c>
      <c r="B40" s="188" t="inlineStr">
        <is>
          <t>OEM and Software License Financing Arrangements</t>
        </is>
      </c>
      <c r="C40" s="23" t="inlineStr">
        <is>
          <t>OEM and Software License Financing Arrangements</t>
        </is>
      </c>
    </row>
    <row r="41" ht="64.5" customHeight="1" s="186">
      <c r="A41" s="6" t="n">
        <v>35</v>
      </c>
      <c r="B41" s="188" t="inlineStr">
        <is>
          <t>OEM and Software License Financing Arrangements</t>
        </is>
      </c>
      <c r="C41" s="22" t="inlineStr">
        <is>
          <t>The Company had entered into various agreements with original equipment manufacturers (the "OEM Financing Arrangements"), whereby the Company obtained financing for certain equipment. The Company had an outstanding balance of $4.8 billion and $3.8 billion as of June 30, 2026 and December 31, 2025, respectively. The Company also had entered into various arrangements with a software license vendor (the "Software License Financing Arrangements"), whereby the Company obtained financing for certain software licenses. The Company had an outstanding balance of $347 million and $368 million as of June 30, 2026 and December 31, 2025, respectively.</t>
        </is>
      </c>
    </row>
    <row r="42" ht="13.5" customHeight="1" s="186">
      <c r="A42" s="6" t="n">
        <v>36</v>
      </c>
      <c r="B42" s="188" t="inlineStr">
        <is>
          <t>Convertible Senior Notes</t>
        </is>
      </c>
      <c r="C42" s="23" t="inlineStr">
        <is>
          <t>Convertible Senior Notes</t>
        </is>
      </c>
    </row>
    <row r="43" ht="39" customHeight="1" s="186">
      <c r="A43" s="6" t="n">
        <v>37</v>
      </c>
      <c r="B43" s="188" t="inlineStr">
        <is>
          <t>Convertible Senior Notes</t>
        </is>
      </c>
      <c r="C43" s="22" t="inlineStr">
        <is>
          <t>In April 2026, the Company issued $4.0 billion in aggregate principal amount of convertible senior notes due on October 1, 2032 (the "2032 Convertible Senior Notes") in a private placement offering to qualified institutional buyers pursuant to Rule 144A under the Securities Act of 1933, as amended (the "Securities Act").</t>
        </is>
      </c>
    </row>
    <row r="44" ht="25.5" customHeight="1" s="186">
      <c r="A44" s="6" t="n">
        <v>38</v>
      </c>
      <c r="B44" s="188" t="inlineStr">
        <is>
          <t>Convertible Senior Notes</t>
        </is>
      </c>
      <c r="C44" s="22" t="inlineStr">
        <is>
          <t>The 2032 Convertible Senior Notes are convertible at an initial conversion rate of 8.3612 shares per $1,000 principal amount (equivalent to a conversion price of approximately $119.60 per share) into cash, shares of the Company's Class A</t>
        </is>
      </c>
    </row>
    <row r="45" ht="39" customHeight="1" s="186">
      <c r="A45" s="6" t="n">
        <v>39</v>
      </c>
      <c r="B45" s="188" t="inlineStr">
        <is>
          <t>Convertible Senior Notes</t>
        </is>
      </c>
      <c r="C45" s="22" t="inlineStr">
        <is>
          <t>common stock, or a combination thereof. Until July 1, 2032, the 2032 Convertible Senior Notes can only be converted upon satisfaction of certain market conditions or upon the occurrence of specific corporate events. After that date, the notes are freely convertible. The conversion rate is subject to standard anti-dilution adjustments throughout the life of the instrument.</t>
        </is>
      </c>
    </row>
    <row r="46" ht="78" customHeight="1" s="186">
      <c r="A46" s="6" t="n">
        <v>40</v>
      </c>
      <c r="B46" s="188" t="inlineStr">
        <is>
          <t>Convertible Senior Notes</t>
        </is>
      </c>
      <c r="C46" s="22" t="inlineStr">
        <is>
          <t>Additionally, if the holders of the 2032 Convertible Senior Notes convert their notes in connection with a make-whole fundamental change or in connection with the exercise of the Company's option to redeem the 2032 Convertible Senior Notes, the conversion rate may be adjusted to compensate for the lost time value of money. The Company may not redeem the 2032 Convertible Senior Notes prior to October 8, 2029. On or after that date, the Company may redeem all or any portion of the outstanding 2032 Convertible Senior Notes for cash if the Company's Class A common stock price exceeds 130% of the conversion price for any 20 trading days within a 30 consecutive trading day period.</t>
        </is>
      </c>
    </row>
    <row r="47" ht="39" customHeight="1" s="186">
      <c r="A47" s="6" t="n">
        <v>41</v>
      </c>
      <c r="B47" s="188" t="inlineStr">
        <is>
          <t>Convertible Senior Notes</t>
        </is>
      </c>
      <c r="C47" s="22" t="inlineStr">
        <is>
          <t>The 2032 Convertible Senior Notes are accounted for as a single liability measured at its amortized cost, as the conversion features do not require bifurcation and recognition as derivatives. In conjunction with the issuance of the 2032 Convertible Senior Notes, the Company capitalized $70 million in debt discount and issuance costs.</t>
        </is>
      </c>
    </row>
    <row r="48" ht="51.75" customHeight="1" s="186">
      <c r="A48" s="6" t="n">
        <v>42</v>
      </c>
      <c r="B48" s="188" t="inlineStr">
        <is>
          <t>Convertible Senior Notes</t>
        </is>
      </c>
      <c r="C48" s="22" t="inlineStr">
        <is>
          <t>A portion of the proceeds from the 2032 Convertible Senior Notes was used to fund the cost of entering into capped call transactions, described below. The Company expects to use the remainder of the proceeds for general corporate purposes. The 2032 Convertible Senior Notes are unsecured obligations and bear interest payable semi-annually in arrears and include customary terms and covenants, including certain events of default, after which the notes may be due and payable immediately at a price set forth in the indenture.</t>
        </is>
      </c>
    </row>
    <row r="49" ht="39" customHeight="1" s="186">
      <c r="A49" s="6" t="n">
        <v>43</v>
      </c>
      <c r="B49" s="188" t="inlineStr">
        <is>
          <t>Convertible Senior Notes</t>
        </is>
      </c>
      <c r="C49" s="22" t="inlineStr">
        <is>
          <t>As of June 30, 2026, the total estimated fair value of the 2031 Convertible Notes and 2032 Convertible Senior Notes was $7.5 billion, which was based on observable market prices of identical instruments in less active markets and is categorized as Level 2 in the fair value hierarchy.</t>
        </is>
      </c>
    </row>
    <row r="50" ht="13.5" customHeight="1" s="186">
      <c r="A50" s="6" t="n">
        <v>44</v>
      </c>
      <c r="B50" s="188" t="inlineStr">
        <is>
          <t>Capped Call Transactions</t>
        </is>
      </c>
      <c r="C50" s="23" t="inlineStr">
        <is>
          <t>Capped Call Transactions</t>
        </is>
      </c>
    </row>
    <row r="51" ht="64.5" customHeight="1" s="186">
      <c r="A51" s="6" t="n">
        <v>45</v>
      </c>
      <c r="B51" s="188" t="inlineStr">
        <is>
          <t>Capped Call Transactions</t>
        </is>
      </c>
      <c r="C51" s="22" t="inlineStr">
        <is>
          <t>In conjunction with the issuance of the 2032 Convertible Senior Notes, the Company entered into separately negotiated capped call transactions (the "Capped Calls") with certain financial institutions at a total cost of $492 million. The Capped Calls are expected generally to reduce potential dilution of the Company's Class A common stock upon any conversion of the 2032 Convertible Senior Notes and offset any potential cash payments the Company is required to make in excess of the principal amount of such converted 2032 Convertible Senior Notes, as the case may be, with such reduction and offset subject to a cap.</t>
        </is>
      </c>
    </row>
    <row r="52" ht="64.5" customHeight="1" s="186">
      <c r="A52" s="6" t="n">
        <v>46</v>
      </c>
      <c r="B52" s="188" t="inlineStr">
        <is>
          <t>Capped Call Transactions</t>
        </is>
      </c>
      <c r="C52" s="22" t="inlineStr">
        <is>
          <t>The Capped Calls have an initial strike price of $119.60 per share, which corresponds to the initial conversion price of the 2032 Convertible Senior Notes, and have an initial cap price of $230.00 per share, both subject to certain adjustments. The Capped Calls qualify for a derivative scope exception for instruments that are both indexed to an entity's own stock; therefore they are recorded in stockholders' equity as a reduction of additional paid-in capital on the condensed consolidated balance sheets and will not be subsequently remeasured.</t>
        </is>
      </c>
    </row>
    <row r="53" ht="13.5" customHeight="1" s="186">
      <c r="A53" s="6" t="n">
        <v>47</v>
      </c>
      <c r="B53" s="188" t="inlineStr">
        <is>
          <t>Senior Notes</t>
        </is>
      </c>
      <c r="C53" s="23" t="inlineStr">
        <is>
          <t>Senior Notes</t>
        </is>
      </c>
    </row>
    <row r="54" ht="39" customHeight="1" s="186">
      <c r="A54" s="6" t="n">
        <v>48</v>
      </c>
      <c r="B54" s="188" t="inlineStr">
        <is>
          <t>Senior Notes</t>
        </is>
      </c>
      <c r="C54" s="22" t="inlineStr">
        <is>
          <t>In April 2026, the Company issued $2.8 billion in aggregate principal amount of senior notes due on October 1, 2031 (the "2031 9.75% Senior Notes") in private placement offerings to qualified institutional buyers pursuant to Rule 144A under the Securities Act. In conjunction with the issuance of the 2031 9.75% Senior Notes, the Company capitalized $27 million in debt discount and issuance costs.</t>
        </is>
      </c>
    </row>
    <row r="55" ht="39" customHeight="1" s="186">
      <c r="A55" s="6" t="n">
        <v>49</v>
      </c>
      <c r="B55" s="188" t="inlineStr">
        <is>
          <t>Senior Notes</t>
        </is>
      </c>
      <c r="C55" s="22" t="inlineStr">
        <is>
          <t>In June 2026, the Company issued $1.3 billion in aggregate principal amount of senior notes due on July 15, 2032 (the "2032 9.625% Senior Notes") in private placement offerings to qualified institutional buyers pursuant to the Securities Act. In conjunction with the issuance of the 2032 9.625% Senior Notes, the Company capitalized $20 million in debt discount and issuance costs.</t>
        </is>
      </c>
    </row>
    <row r="56" ht="39" customHeight="1" s="186">
      <c r="A56" s="6" t="n">
        <v>50</v>
      </c>
      <c r="B56" s="188" t="inlineStr">
        <is>
          <t>Senior Notes</t>
        </is>
      </c>
      <c r="C56" s="22" t="inlineStr">
        <is>
          <t>Additionally, in June 2026, the Company issued €2.0 billion in aggregate principal amount of senior notes due on July 15, 2032 (the "2032 EUR Senior Notes") in a private placement offering to qualified institutional buyers pursuant to the Securities Act. In conjunction with the issuance of the 2032 EUR Senior Notes, the Company capitalized $41 million in debt discount and issuance costs.</t>
        </is>
      </c>
    </row>
    <row r="57" ht="64.5" customHeight="1" s="186">
      <c r="A57" s="6" t="n">
        <v>51</v>
      </c>
      <c r="B57" s="188" t="inlineStr">
        <is>
          <t>Senior Notes</t>
        </is>
      </c>
      <c r="C57" s="22" t="inlineStr">
        <is>
          <t>The proceeds from the issuance of the 2031 9.75% Senior Notes, 2032 9.625% Senior Notes and 2032 EUR Senior Notes were retained for general corporate purposes. The Senior Notes are unsecured obligations and bear interest payable semi-annually in arrears. The Company may redeem all or a portion of the Senior Notes at any time prior to their maturity at a redemption price set forth in the respective indentures. The senior notes include customary terms and covenants, including certain events of default, after which the Senior Notes may be due and payable immediately at a price set forth in the indentures.</t>
        </is>
      </c>
    </row>
    <row r="58" ht="39" customHeight="1" s="186">
      <c r="A58" s="6" t="n">
        <v>52</v>
      </c>
      <c r="B58" s="188" t="inlineStr">
        <is>
          <t>Senior Notes</t>
        </is>
      </c>
      <c r="C58" s="22" t="inlineStr">
        <is>
          <t>As of June 30, 2026, the total estimated fair value of the 2030 Senior Notes, 2031 9.00% Senior Notes, 2031 9.75% Senior Notes, 2032 EUR Senior Notes, and the 2032 9.625% Senior Notes was $10.0 billion, which was based on observable market prices of identical instruments in less active markets and was categorized as Level 2 in the fair value hierarchy.</t>
        </is>
      </c>
    </row>
    <row r="59" ht="13.5" customHeight="1" s="186">
      <c r="A59" s="6" t="n">
        <v>53</v>
      </c>
      <c r="B59" s="188" t="inlineStr">
        <is>
          <t>Magnetar Loan</t>
        </is>
      </c>
      <c r="C59" s="23" t="inlineStr">
        <is>
          <t>Magnetar Loan</t>
        </is>
      </c>
    </row>
    <row r="60" ht="64.5" customHeight="1" s="186">
      <c r="A60" s="6" t="n">
        <v>54</v>
      </c>
      <c r="B60" s="188" t="inlineStr">
        <is>
          <t>Magnetar Loan</t>
        </is>
      </c>
      <c r="C60" s="22" t="inlineStr">
        <is>
          <t>In June 2026, the Company paid $100 million to MagAI Ventures in partial settlement of amounts outstanding under the MagAI Capacity Agreement, as amended. The payment reduced the carrying amount of the debt obligation. The remaining obligation as of June 30, 2026 was $189 million, consisting of the unused refundable deposit amount, together with accrued redemption premiums through the reporting date. The Company recognized accretion of the redemption premium as interest expense, net, in the condensed consolidated statements of operations and comprehensive loss for the period.</t>
        </is>
      </c>
    </row>
    <row r="61" ht="13.5" customHeight="1" s="186">
      <c r="A61" s="6" t="n">
        <v>55</v>
      </c>
      <c r="B61" s="188" t="inlineStr">
        <is>
          <t>Convertible Promissory Notes</t>
        </is>
      </c>
      <c r="C61" s="23" t="inlineStr">
        <is>
          <t>Convertible Promissory Notes</t>
        </is>
      </c>
    </row>
    <row r="62" ht="64.5" customHeight="1" s="186">
      <c r="A62" s="6" t="n">
        <v>56</v>
      </c>
      <c r="B62" s="188" t="inlineStr">
        <is>
          <t>Convertible Promissory Notes</t>
        </is>
      </c>
      <c r="C62" s="22" t="inlineStr">
        <is>
          <t>In connection with an acquisition during the year ended December 31, 2025, the Company issued non-interest-bearing convertible promissory notes with an aggregate principal amount of $172 million to certain former shareholders of the acquiree. In April 2026, the Company settled in full the convertible promissory notes at a conversion price of $106.61 per share. Accordingly, the notes were settled through the issuance of shares of the Company's Class A common stock, with the number of shares determined by dividing the aggregate principal balance by the conversion price.</t>
        </is>
      </c>
    </row>
    <row r="63" ht="13.5" customHeight="1" s="186">
      <c r="A63" s="6" t="n">
        <v>57</v>
      </c>
      <c r="B63" s="188" t="inlineStr">
        <is>
          <t>DCSP Financing Arrangements</t>
        </is>
      </c>
      <c r="C63" s="23" t="inlineStr">
        <is>
          <t>DCSP Financing Arrangements</t>
        </is>
      </c>
    </row>
    <row r="64" ht="51.75" customHeight="1" s="186">
      <c r="A64" s="6" t="n">
        <v>58</v>
      </c>
      <c r="B64" s="188" t="inlineStr">
        <is>
          <t>DCSP Financing Arrangements</t>
        </is>
      </c>
      <c r="C64" s="22" t="inlineStr">
        <is>
          <t>In June 2023, the Company entered into a service agreement (the "DCSP Service Agreement") with a data center service provider (the "DCSP"). Under the DCSP Service Agreement, the DCSP will design, purchase, build, and manage a data center providing access to up to 78 MW of electrical power to be delivered in phases. Separately, during the year ended December 31, 2024, the Company purchased $116 million of critical infrastructure assets to support the data center site (the "Existing Critical Infrastructure Assets").</t>
        </is>
      </c>
    </row>
    <row r="65" ht="51.75" customHeight="1" s="186">
      <c r="A65" s="6" t="n">
        <v>59</v>
      </c>
      <c r="B65" s="188" t="inlineStr">
        <is>
          <t>DCSP Financing Arrangements</t>
        </is>
      </c>
      <c r="C65" s="22" t="inlineStr">
        <is>
          <t>In October 2024, the Company, as a lender, entered into a Senior Secured Delayed Draw Term Loan Credit Agreement (the "DCSP Note Receivable," and collectively, with the DCSP Service Agreement, the "DCSP Financing Arrangements") with the DCSP to facilitate the purchase of critical infrastructure assets. The DCSP Note Receivable provides for a total commitment of up to $305 million in delayed draw term loan funding for a term of seven years with a stated interest rate of 13.00% per annum.</t>
        </is>
      </c>
    </row>
    <row r="66" ht="25.5" customHeight="1" s="186">
      <c r="A66" s="6" t="n">
        <v>60</v>
      </c>
      <c r="B66" s="188" t="inlineStr">
        <is>
          <t>DCSP Financing Arrangements</t>
        </is>
      </c>
      <c r="C66" s="22" t="inlineStr">
        <is>
          <t>The DCSP Note Receivable is secured by the new and existing critical infrastructure assets that support current and future phases of the build out at the data center and is prepayable at any time by the DCSP with no penalty.</t>
        </is>
      </c>
    </row>
    <row r="67" ht="78" customHeight="1" s="186">
      <c r="A67" s="6" t="n">
        <v>61</v>
      </c>
      <c r="B67" s="188" t="inlineStr">
        <is>
          <t>DCSP Financing Arrangements</t>
        </is>
      </c>
      <c r="C67" s="22" t="inlineStr">
        <is>
          <t>The DCSP has borrowed under the DCSP Note Receivable to settle amounts previously advanced to the DCSP by the Company, finance purchases of additional critical infrastructure assets, and purchase the Existing Critical Infrastructure Assets. Under the terms of the DCSP Service Agreement, the Company continues to control the Existing Critical Infrastructure Assets and the Company recorded a financing obligation related to the consideration received for the Existing Critical Infrastructure Assets. The financing obligation is payable over a term of 14 years and has an imputed interest rate of 15%. The Existing Critical Infrastructure Assets are included in property and equipment, net, on the condensed consolidated balance sheets and are depreciated over their estimated useful life.</t>
        </is>
      </c>
    </row>
    <row r="68" ht="39" customHeight="1" s="186">
      <c r="A68" s="6" t="n">
        <v>62</v>
      </c>
      <c r="B68" s="188" t="inlineStr">
        <is>
          <t>DCSP Financing Arrangements</t>
        </is>
      </c>
      <c r="C68" s="22" t="inlineStr">
        <is>
          <t>Additionally, the Company entered into a lease for data center infrastructure assets with the DCSP. The arrangement commenced in April 2025 and is accounted for as a finance lease, with an initial term of 14 years and an imputed interest rate of 13%. The Company did not record any finance lease right-of-use assets acquired through lease liability for the three</t>
        </is>
      </c>
    </row>
    <row r="69" ht="25.5" customHeight="1" s="186">
      <c r="A69" s="6" t="n">
        <v>63</v>
      </c>
      <c r="B69" s="188" t="inlineStr">
        <is>
          <t>DCSP Financing Arrangements</t>
        </is>
      </c>
      <c r="C69" s="22" t="inlineStr">
        <is>
          <t>months ended June 30, 2026 and 2025. For the six months ended June 30, 2026 and 2025, the amortization expense related to finance lease right-of-use assets was not material.</t>
        </is>
      </c>
    </row>
    <row r="70" ht="25.5" customHeight="1" s="186">
      <c r="A70" s="6" t="n">
        <v>64</v>
      </c>
      <c r="B70" s="188" t="inlineStr">
        <is>
          <t>DCSP Financing Arrangements</t>
        </is>
      </c>
      <c r="C70" s="22" t="inlineStr">
        <is>
          <t>As of June 30, 2026, the future contractual principal payments under the financing obligation and finance lease due to the DCSP were as follows (in millions):</t>
        </is>
      </c>
    </row>
    <row r="71" ht="13.5" customHeight="1" s="186">
      <c r="A71" s="6" t="n">
        <v>65</v>
      </c>
      <c r="B71" s="188" t="inlineStr">
        <is>
          <t>DCSP Financing Arrangements</t>
        </is>
      </c>
      <c r="C71" s="188" t="inlineStr">
        <is>
          <t>[TABLE]</t>
        </is>
      </c>
    </row>
    <row r="72" ht="142.5" customHeight="1" s="186">
      <c r="A72" s="6" t="n">
        <v>66</v>
      </c>
      <c r="B72" s="188" t="inlineStr">
        <is>
          <t>DCSP Financing Arrangements</t>
        </is>
      </c>
      <c r="C72" s="22" t="inlineStr">
        <is>
          <t>The DCSP Financing Arrangements allow for the net settlement of amounts due between the parties and meet the criteria for right of setoff in accordance with ASC 210, Balance Sheet. As of June 30, 2026, the gross amount of the DCSP Note Receivable was $302 million, which is presented net of the financing obligation and finance lease of $230 million. As of December 31, 2025, the gross amount of the DCSP Note Receivable was $304 million, which is presented net of the financing obligation and finance lease of $234 million. For the three months ended June 30, 2026 and 2025, and the six months ended June 30, 2025, interest income recognized in other income (expense), net, in the condensed consolidated statements of operations and comprehensive loss was not material. For the six months ended June 30, 2026, interest income recognized in other income (expense), net, in the condensed consolidated statements of operations and comprehensive loss was $20 million. The total interest expense related to the financing obligation and finance lease associated with this arrangement for the three months ended June 30, 2026 and 2025, and the six months ended June 30, 2025 was not material. The total interest expense related to the financing obligation and finance lease associated with this arrangement for the six months ended June 30, 2026 was $16 million.</t>
        </is>
      </c>
    </row>
    <row r="73" ht="90.75" customHeight="1" s="186">
      <c r="A73" s="6" t="n">
        <v>67</v>
      </c>
      <c r="B73" s="188" t="inlineStr">
        <is>
          <t>DCSP Financing Arrangements</t>
        </is>
      </c>
      <c r="C73" s="22" t="inlineStr">
        <is>
          <t>During the three months ended June 30, 2026, the Company reassessed the DCSP as a VIE following changes affecting the adequacy of the DCSP's equity investment at risk. The Company concluded that it was not the primary beneficiary of the DCSP because it lacked the power to direct the activities that most significantly impact the DCSP's economic performance. Accordingly, the Company did not consolidate the DCSP. The Company's maximum exposure to loss related to the DCSP consists of the carrying amount of the DCSP Note Receivable and the Company's commitment to fund the remaining completion work at the data center. This funding commitment is not subject to a contractual cap; however, the Company estimates the remaining funding obligation to be not material. Amounts funded under this commitment are recoverable from the DCSP only through contingent, unsecured reimbursement rights.</t>
        </is>
      </c>
    </row>
  </sheetData>
  <mergeCells count="1">
    <mergeCell ref="A4:C4"/>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D70"/>
  <sheetViews>
    <sheetView showGridLines="0" zoomScaleNormal="100" workbookViewId="0">
      <pane xSplit="1" ySplit="6" topLeftCell="B7" activePane="bottomRight" state="frozen"/>
      <selection pane="topRight" activeCell="B1" sqref="B1"/>
      <selection pane="bottomLeft" activeCell="A7" sqref="A7"/>
      <selection pane="bottomRight" activeCell="A1" sqref="A1"/>
    </sheetView>
  </sheetViews>
  <sheetFormatPr baseColWidth="10" defaultColWidth="8.6640625" defaultRowHeight="15"/>
  <cols>
    <col width="70" customWidth="1" style="186" min="1" max="1"/>
    <col width="6" customWidth="1" style="186" min="2" max="2"/>
    <col width="14" customWidth="1" style="186" min="3" max="4"/>
  </cols>
  <sheetData>
    <row r="1" ht="16.5" customHeight="1" s="186">
      <c r="A1" s="5" t="inlineStr">
        <is>
          <t>10-K FY2025 - Consolidated Balance Sheets</t>
        </is>
      </c>
    </row>
    <row r="2">
      <c r="A2" s="6" t="inlineStr">
        <is>
          <t>Source: 10-K filed 2026-03-02, R3.htm</t>
        </is>
      </c>
    </row>
    <row r="3">
      <c r="A3" s="6" t="inlineStr">
        <is>
          <t>https://www.sec.gov/Archives/edgar/data/1769628/000176962826000104/R3.htm</t>
        </is>
      </c>
    </row>
    <row r="4">
      <c r="A4" s="6" t="inlineStr">
        <is>
          <t>Copied as shown. Column B = footnote marker column on the SEC page; [1] = footnote at the bottom of the table.</t>
        </is>
      </c>
    </row>
    <row r="6" ht="15" customHeight="1" s="186">
      <c r="A6" s="189" t="inlineStr">
        <is>
          <t>CONSOLIDATED BALANCE SHEETS - USD ($) shares in Millions, $ in Millions</t>
        </is>
      </c>
      <c r="C6" s="185" t="inlineStr">
        <is>
          <t>Dec. 31, 2025</t>
        </is>
      </c>
      <c r="D6" s="185" t="inlineStr">
        <is>
          <t>Dec. 31, 2024</t>
        </is>
      </c>
    </row>
    <row r="7">
      <c r="A7" s="11" t="inlineStr">
        <is>
          <t>Current assets</t>
        </is>
      </c>
    </row>
    <row r="8">
      <c r="A8" s="11" t="inlineStr">
        <is>
          <t>Cash and cash equivalents</t>
        </is>
      </c>
      <c r="C8" s="12" t="n">
        <v>3127</v>
      </c>
      <c r="D8" s="12" t="n">
        <v>1361</v>
      </c>
    </row>
    <row r="9">
      <c r="A9" s="11" t="inlineStr">
        <is>
          <t>Restricted cash and cash equivalents, current</t>
        </is>
      </c>
      <c r="C9" s="12" t="n">
        <v>819</v>
      </c>
      <c r="D9" s="12" t="n">
        <v>37</v>
      </c>
    </row>
    <row r="10">
      <c r="A10" s="11" t="inlineStr">
        <is>
          <t>Marketable securities</t>
        </is>
      </c>
      <c r="C10" s="12" t="n">
        <v>34</v>
      </c>
      <c r="D10" s="12" t="n">
        <v>0</v>
      </c>
    </row>
    <row r="11">
      <c r="A11" s="11" t="inlineStr">
        <is>
          <t>Accounts receivable, net</t>
        </is>
      </c>
      <c r="C11" s="12" t="n">
        <v>3169</v>
      </c>
      <c r="D11" s="12" t="n">
        <v>417</v>
      </c>
    </row>
    <row r="12">
      <c r="A12" s="11" t="inlineStr">
        <is>
          <t>Prepaid expenses and other current assets</t>
        </is>
      </c>
      <c r="C12" s="12" t="n">
        <v>339</v>
      </c>
      <c r="D12" s="12" t="n">
        <v>101</v>
      </c>
    </row>
    <row r="13">
      <c r="A13" s="11" t="inlineStr">
        <is>
          <t>Total current assets</t>
        </is>
      </c>
      <c r="C13" s="12" t="n">
        <v>7488</v>
      </c>
      <c r="D13" s="12" t="n">
        <v>1916</v>
      </c>
    </row>
    <row r="14">
      <c r="A14" s="11" t="inlineStr">
        <is>
          <t>Restricted cash and cash equivalents, non-current</t>
        </is>
      </c>
      <c r="C14" s="12" t="n">
        <v>184</v>
      </c>
      <c r="D14" s="12" t="n">
        <v>637</v>
      </c>
    </row>
    <row r="15">
      <c r="A15" s="11" t="inlineStr">
        <is>
          <t>Restricted marketable securities, non-current</t>
        </is>
      </c>
      <c r="C15" s="12" t="n">
        <v>0</v>
      </c>
      <c r="D15" s="12" t="n">
        <v>29</v>
      </c>
    </row>
    <row r="16">
      <c r="A16" s="11" t="inlineStr">
        <is>
          <t>Property and equipment, net</t>
        </is>
      </c>
      <c r="C16" s="12" t="n">
        <v>30557</v>
      </c>
      <c r="D16" s="12" t="n">
        <v>11915</v>
      </c>
    </row>
    <row r="17">
      <c r="A17" s="11" t="inlineStr">
        <is>
          <t>Operating lease right-of-use assets</t>
        </is>
      </c>
      <c r="C17" s="12" t="n">
        <v>8231</v>
      </c>
      <c r="D17" s="12" t="n">
        <v>2590</v>
      </c>
    </row>
    <row r="18">
      <c r="A18" s="11" t="inlineStr">
        <is>
          <t>Intangible assets, net</t>
        </is>
      </c>
      <c r="C18" s="12" t="n">
        <v>235</v>
      </c>
      <c r="D18" s="12" t="n">
        <v>5</v>
      </c>
    </row>
    <row r="19">
      <c r="A19" s="11" t="inlineStr">
        <is>
          <t>Goodwill</t>
        </is>
      </c>
      <c r="C19" s="12" t="n">
        <v>1101</v>
      </c>
      <c r="D19" s="12" t="n">
        <v>20</v>
      </c>
    </row>
    <row r="20">
      <c r="A20" s="11" t="inlineStr">
        <is>
          <t>Other non-current assets</t>
        </is>
      </c>
      <c r="B20" s="24" t="inlineStr">
        <is>
          <t>[1]</t>
        </is>
      </c>
      <c r="C20" s="12" t="n">
        <v>1506</v>
      </c>
      <c r="D20" s="12" t="n">
        <v>721</v>
      </c>
    </row>
    <row r="21">
      <c r="A21" s="11" t="inlineStr">
        <is>
          <t>Total assets</t>
        </is>
      </c>
      <c r="C21" s="12" t="n">
        <v>49302</v>
      </c>
      <c r="D21" s="12" t="n">
        <v>17833</v>
      </c>
    </row>
    <row r="22">
      <c r="A22" s="11" t="inlineStr">
        <is>
          <t>Current liabilities</t>
        </is>
      </c>
    </row>
    <row r="23">
      <c r="A23" s="11" t="inlineStr">
        <is>
          <t>Accounts payable</t>
        </is>
      </c>
      <c r="C23" s="12" t="n">
        <v>1623</v>
      </c>
      <c r="D23" s="12" t="n">
        <v>868</v>
      </c>
    </row>
    <row r="24">
      <c r="A24" s="11" t="inlineStr">
        <is>
          <t>Accrued liabilities</t>
        </is>
      </c>
      <c r="C24" s="12" t="n">
        <v>5773</v>
      </c>
      <c r="D24" s="12" t="n">
        <v>356</v>
      </c>
    </row>
    <row r="25">
      <c r="A25" s="11" t="inlineStr">
        <is>
          <t>Debt, current</t>
        </is>
      </c>
      <c r="B25" s="24" t="inlineStr">
        <is>
          <t>[1]</t>
        </is>
      </c>
      <c r="C25" s="12" t="n">
        <v>6708</v>
      </c>
      <c r="D25" s="12" t="n">
        <v>2468</v>
      </c>
    </row>
    <row r="26">
      <c r="A26" s="11" t="inlineStr">
        <is>
          <t>Deferred revenue, current</t>
        </is>
      </c>
      <c r="C26" s="12" t="n">
        <v>1709</v>
      </c>
      <c r="D26" s="12" t="n">
        <v>769</v>
      </c>
    </row>
    <row r="27">
      <c r="A27" s="11" t="inlineStr">
        <is>
          <t>Operating lease liabilities, current</t>
        </is>
      </c>
      <c r="C27" s="12" t="n">
        <v>427</v>
      </c>
      <c r="D27" s="12" t="n">
        <v>213</v>
      </c>
    </row>
    <row r="28">
      <c r="A28" s="11" t="inlineStr">
        <is>
          <t>Finance lease liabilities, current</t>
        </is>
      </c>
      <c r="C28" s="12" t="n">
        <v>38</v>
      </c>
      <c r="D28" s="12" t="n">
        <v>58</v>
      </c>
    </row>
    <row r="29">
      <c r="A29" s="11" t="inlineStr">
        <is>
          <t>Other current liabilities</t>
        </is>
      </c>
      <c r="B29" s="24" t="inlineStr">
        <is>
          <t>[1]</t>
        </is>
      </c>
      <c r="C29" s="12" t="n">
        <v>162</v>
      </c>
      <c r="D29" s="12" t="n">
        <v>231</v>
      </c>
    </row>
    <row r="30">
      <c r="A30" s="11" t="inlineStr">
        <is>
          <t>Total current liabilities</t>
        </is>
      </c>
      <c r="C30" s="12" t="n">
        <v>16440</v>
      </c>
      <c r="D30" s="12" t="n">
        <v>4963</v>
      </c>
    </row>
    <row r="31">
      <c r="A31" s="11" t="inlineStr">
        <is>
          <t>Debt, non-current</t>
        </is>
      </c>
      <c r="B31" s="24" t="inlineStr">
        <is>
          <t>[1]</t>
        </is>
      </c>
      <c r="C31" s="12" t="n">
        <v>14665</v>
      </c>
      <c r="D31" s="12" t="n">
        <v>5458</v>
      </c>
    </row>
    <row r="32">
      <c r="A32" s="11" t="inlineStr">
        <is>
          <t>Derivative and warrant liabilities</t>
        </is>
      </c>
      <c r="C32" s="12" t="n">
        <v>1</v>
      </c>
      <c r="D32" s="12" t="n">
        <v>200</v>
      </c>
    </row>
    <row r="33">
      <c r="A33" s="11" t="inlineStr">
        <is>
          <t>Deferred revenue, non-current</t>
        </is>
      </c>
      <c r="C33" s="12" t="n">
        <v>6476</v>
      </c>
      <c r="D33" s="12" t="n">
        <v>3295</v>
      </c>
    </row>
    <row r="34">
      <c r="A34" s="11" t="inlineStr">
        <is>
          <t>Operating lease liabilities, non-current</t>
        </is>
      </c>
      <c r="C34" s="12" t="n">
        <v>7768</v>
      </c>
      <c r="D34" s="12" t="n">
        <v>2389</v>
      </c>
    </row>
    <row r="35">
      <c r="A35" s="11" t="inlineStr">
        <is>
          <t>Finance lease liabilities, non-current</t>
        </is>
      </c>
      <c r="C35" s="12" t="n">
        <v>216</v>
      </c>
      <c r="D35" s="12" t="n">
        <v>34</v>
      </c>
    </row>
    <row r="36">
      <c r="A36" s="11" t="inlineStr">
        <is>
          <t>Deferred tax liabilities, non-current</t>
        </is>
      </c>
      <c r="C36" s="12" t="n">
        <v>115</v>
      </c>
      <c r="D36" s="12" t="n">
        <v>149</v>
      </c>
    </row>
    <row r="37">
      <c r="A37" s="11" t="inlineStr">
        <is>
          <t>Other non-current liabilities</t>
        </is>
      </c>
      <c r="C37" s="12" t="n">
        <v>286</v>
      </c>
      <c r="D37" s="12" t="n">
        <v>37</v>
      </c>
    </row>
    <row r="38">
      <c r="A38" s="11" t="inlineStr">
        <is>
          <t>Total liabilities</t>
        </is>
      </c>
      <c r="C38" s="12" t="n">
        <v>45967</v>
      </c>
      <c r="D38" s="12" t="n">
        <v>16525</v>
      </c>
    </row>
    <row r="39">
      <c r="A39" s="11" t="inlineStr">
        <is>
          <t>Commitments and contingencies (Note 9)</t>
        </is>
      </c>
    </row>
    <row r="40">
      <c r="A40" s="11" t="inlineStr">
        <is>
          <t>Stockholders' equity (deficit)</t>
        </is>
      </c>
    </row>
    <row r="41">
      <c r="A41" s="11" t="inlineStr">
        <is>
          <t>Preferred stock, $0.000005 par value per share, 100 and no shares authorized as of December 31, 2025 and 2024, respectively; no shares issued and outstanding as of December 31, 2025 and 2024</t>
        </is>
      </c>
      <c r="C41" s="16" t="n">
        <v>0</v>
      </c>
      <c r="D41" s="16" t="n">
        <v>0</v>
      </c>
    </row>
    <row r="42">
      <c r="A42" s="11" t="inlineStr">
        <is>
          <t>Treasury stock, at cost, 7 shares as of December 31, 2025 and 2024</t>
        </is>
      </c>
      <c r="C42" s="12" t="n">
        <v>-34</v>
      </c>
      <c r="D42" s="12" t="n">
        <v>-34</v>
      </c>
    </row>
    <row r="43">
      <c r="A43" s="11" t="inlineStr">
        <is>
          <t>Additional paid-in capital</t>
        </is>
      </c>
      <c r="C43" s="12" t="n">
        <v>6012</v>
      </c>
      <c r="D43" s="12" t="n">
        <v>1096</v>
      </c>
    </row>
    <row r="44">
      <c r="A44" s="11" t="inlineStr">
        <is>
          <t>Accumulated deficit</t>
        </is>
      </c>
      <c r="C44" s="12" t="n">
        <v>-2643</v>
      </c>
      <c r="D44" s="12" t="n">
        <v>-1476</v>
      </c>
    </row>
    <row r="45">
      <c r="A45" s="11" t="inlineStr">
        <is>
          <t>Total stockholders' equity (deficit)</t>
        </is>
      </c>
      <c r="C45" s="12" t="n">
        <v>3335</v>
      </c>
      <c r="D45" s="12" t="n">
        <v>-414</v>
      </c>
    </row>
    <row r="46">
      <c r="A46" s="11" t="inlineStr">
        <is>
          <t>Total liabilities, redeemable convertible preferred stock, and stockholders' equity (deficit)</t>
        </is>
      </c>
      <c r="C46" s="12" t="n">
        <v>49302</v>
      </c>
      <c r="D46" s="12" t="n">
        <v>17833</v>
      </c>
    </row>
    <row r="47">
      <c r="A47" s="11" t="inlineStr">
        <is>
          <t>Treasury stock (in shares)</t>
        </is>
      </c>
      <c r="C47" s="12" t="n">
        <v>7</v>
      </c>
      <c r="D47" s="12" t="n">
        <v>7</v>
      </c>
    </row>
    <row r="48">
      <c r="A48" s="11" t="inlineStr">
        <is>
          <t>Redeemable convertible preferred stock</t>
        </is>
      </c>
    </row>
    <row r="49">
      <c r="A49" s="11" t="inlineStr">
        <is>
          <t>Redeemable convertible preferred stock</t>
        </is>
      </c>
    </row>
    <row r="50">
      <c r="A50" s="11" t="inlineStr">
        <is>
          <t>Redeemable convertible preferred stock, $0.000005 par value per share, no and 206 shares authorized as of December 31, 2025 and 2024, respectively; no and 185 shares issued and outstanding as of December 31, 2025 and 2024, respectively</t>
        </is>
      </c>
      <c r="B50" s="24" t="inlineStr">
        <is>
          <t>[1]</t>
        </is>
      </c>
      <c r="C50" s="16" t="n">
        <v>0</v>
      </c>
      <c r="D50" s="16" t="n">
        <v>1722</v>
      </c>
    </row>
    <row r="51">
      <c r="A51" s="11" t="inlineStr">
        <is>
          <t>Common Class A</t>
        </is>
      </c>
    </row>
    <row r="52">
      <c r="A52" s="11" t="inlineStr">
        <is>
          <t>Stockholders' equity (deficit)</t>
        </is>
      </c>
    </row>
    <row r="53">
      <c r="A53" s="11" t="inlineStr">
        <is>
          <t>Common stock</t>
        </is>
      </c>
      <c r="C53" s="12" t="n">
        <v>0</v>
      </c>
      <c r="D53" s="12" t="n">
        <v>0</v>
      </c>
    </row>
    <row r="54">
      <c r="A54" s="11" t="inlineStr">
        <is>
          <t>Common Class B</t>
        </is>
      </c>
    </row>
    <row r="55">
      <c r="A55" s="11" t="inlineStr">
        <is>
          <t>Stockholders' equity (deficit)</t>
        </is>
      </c>
    </row>
    <row r="56">
      <c r="A56" s="11" t="inlineStr">
        <is>
          <t>Common stock</t>
        </is>
      </c>
      <c r="C56" s="12" t="n">
        <v>0</v>
      </c>
      <c r="D56" s="12" t="n">
        <v>0</v>
      </c>
    </row>
    <row r="57">
      <c r="A57" s="11" t="inlineStr">
        <is>
          <t>Common Class C</t>
        </is>
      </c>
    </row>
    <row r="58">
      <c r="A58" s="11" t="inlineStr">
        <is>
          <t>Stockholders' equity (deficit)</t>
        </is>
      </c>
    </row>
    <row r="59">
      <c r="A59" s="11" t="inlineStr">
        <is>
          <t>Common stock</t>
        </is>
      </c>
      <c r="C59" s="12" t="n">
        <v>0</v>
      </c>
      <c r="D59" s="12" t="n">
        <v>0</v>
      </c>
    </row>
    <row r="61">
      <c r="A61" s="11" t="inlineStr">
        <is>
          <t>[1] Refer to Note 14—Related-Party Transactions for further information on related party arrangements.</t>
        </is>
      </c>
    </row>
    <row r="63">
      <c r="A63" s="13" t="inlineStr">
        <is>
          <t>Checks (added by us, NOT part of the SEC table) - all should be 0</t>
        </is>
      </c>
      <c r="B63" s="14" t="n"/>
      <c r="C63" s="14" t="n"/>
      <c r="D63" s="14" t="n"/>
    </row>
    <row r="64">
      <c r="A64" s="11" t="inlineStr">
        <is>
          <t>Current assets</t>
        </is>
      </c>
      <c r="C64" s="15">
        <f>SUM(C8:C12)-C13</f>
        <v/>
      </c>
      <c r="D64" s="15">
        <f>SUM(D8:D12)-D13</f>
        <v/>
      </c>
    </row>
    <row r="65">
      <c r="A65" s="11" t="inlineStr">
        <is>
          <t>Total assets</t>
        </is>
      </c>
      <c r="C65" s="15">
        <f>C13+SUM(C14:C20)-C21</f>
        <v/>
      </c>
      <c r="D65" s="15">
        <f>D13+SUM(D14:D20)-D21</f>
        <v/>
      </c>
    </row>
    <row r="66">
      <c r="A66" s="11" t="inlineStr">
        <is>
          <t>Current liabilities</t>
        </is>
      </c>
      <c r="C66" s="15">
        <f>SUM(C23:C29)-C30</f>
        <v/>
      </c>
      <c r="D66" s="15">
        <f>SUM(D23:D29)-D30</f>
        <v/>
      </c>
    </row>
    <row r="67">
      <c r="A67" s="11" t="inlineStr">
        <is>
          <t>Total liabilities</t>
        </is>
      </c>
      <c r="C67" s="15">
        <f>C30+SUM(C31:C37)-C38</f>
        <v/>
      </c>
      <c r="D67" s="15">
        <f>D30+SUM(D31:D37)-D38</f>
        <v/>
      </c>
    </row>
    <row r="68">
      <c r="A68" s="11" t="inlineStr">
        <is>
          <t>Stockholders' equity</t>
        </is>
      </c>
      <c r="C68" s="15">
        <f>SUM(C42:C44)-C45</f>
        <v/>
      </c>
      <c r="D68" s="15">
        <f>SUM(D42:D44)-D45</f>
        <v/>
      </c>
    </row>
    <row r="69">
      <c r="A69" s="11" t="inlineStr">
        <is>
          <t>Total L + redeemable pref + equity</t>
        </is>
      </c>
      <c r="C69" s="15">
        <f>C38+C50+C45-C46</f>
        <v/>
      </c>
      <c r="D69" s="15">
        <f>D38+D50+D45-D46</f>
        <v/>
      </c>
    </row>
    <row r="70">
      <c r="A70" s="11" t="inlineStr">
        <is>
          <t>Assets = L + pref + equity</t>
        </is>
      </c>
      <c r="C70" s="15">
        <f>C21-C46</f>
        <v/>
      </c>
      <c r="D70" s="15">
        <f>D21-D46</f>
        <v/>
      </c>
    </row>
  </sheetData>
  <mergeCells count="1">
    <mergeCell ref="A6:B6"/>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E36"/>
  <sheetViews>
    <sheetView showGridLines="0" zoomScaleNormal="100" workbookViewId="0">
      <pane xSplit="1" ySplit="7" topLeftCell="B8" activePane="bottomRight" state="frozen"/>
      <selection pane="topRight" activeCell="B1" sqref="B1"/>
      <selection pane="bottomLeft" activeCell="A8" sqref="A8"/>
      <selection pane="bottomRight" activeCell="A1" sqref="A1"/>
    </sheetView>
  </sheetViews>
  <sheetFormatPr baseColWidth="10" defaultColWidth="8.6640625" defaultRowHeight="15"/>
  <cols>
    <col width="70" customWidth="1" style="186" min="1" max="1"/>
    <col width="6" customWidth="1" style="186" min="2" max="2"/>
    <col width="13" customWidth="1" style="186" min="3" max="5"/>
  </cols>
  <sheetData>
    <row r="1" ht="16.5" customHeight="1" s="186">
      <c r="A1" s="5" t="inlineStr">
        <is>
          <t>10-K FY2025 - Consolidated Statements of Operations</t>
        </is>
      </c>
    </row>
    <row r="2">
      <c r="A2" s="6" t="inlineStr">
        <is>
          <t>Source: 10-K filed 2026-03-02, R5.htm</t>
        </is>
      </c>
    </row>
    <row r="3">
      <c r="A3" s="6" t="inlineStr">
        <is>
          <t>https://www.sec.gov/Archives/edgar/data/1769628/000176962826000104/R5.htm</t>
        </is>
      </c>
    </row>
    <row r="4">
      <c r="A4" s="6" t="inlineStr">
        <is>
          <t>Copied as shown. Column B = footnote marker column.</t>
        </is>
      </c>
    </row>
    <row r="6" ht="24" customHeight="1" s="186">
      <c r="A6" s="189" t="inlineStr">
        <is>
          <t>CONSOLIDATED STATEMENTS OF OPERATIONS AND COMPREHENSIVE LOSS - USD ($) shares in Millions, $ in Millions</t>
        </is>
      </c>
      <c r="C6" s="185" t="inlineStr">
        <is>
          <t>12 Months Ended</t>
        </is>
      </c>
    </row>
    <row r="7">
      <c r="C7" s="185" t="inlineStr">
        <is>
          <t>Dec. 31, 2025</t>
        </is>
      </c>
      <c r="D7" s="185" t="inlineStr">
        <is>
          <t>Dec. 31, 2024</t>
        </is>
      </c>
      <c r="E7" s="185" t="inlineStr">
        <is>
          <t>Dec. 31, 2023</t>
        </is>
      </c>
    </row>
    <row r="8">
      <c r="A8" s="11" t="inlineStr">
        <is>
          <t>Income Statement [Abstract]</t>
        </is>
      </c>
    </row>
    <row r="9">
      <c r="A9" s="11" t="inlineStr">
        <is>
          <t>Revenue</t>
        </is>
      </c>
      <c r="C9" s="12" t="n">
        <v>5131</v>
      </c>
      <c r="D9" s="12" t="n">
        <v>1915</v>
      </c>
      <c r="E9" s="12" t="n">
        <v>229</v>
      </c>
    </row>
    <row r="10">
      <c r="A10" s="11" t="inlineStr">
        <is>
          <t>Operating expenses:</t>
        </is>
      </c>
    </row>
    <row r="11">
      <c r="A11" s="11" t="inlineStr">
        <is>
          <t>Cost of revenue</t>
        </is>
      </c>
      <c r="C11" s="12" t="n">
        <v>1453</v>
      </c>
      <c r="D11" s="12" t="n">
        <v>493</v>
      </c>
      <c r="E11" s="12" t="n">
        <v>69</v>
      </c>
    </row>
    <row r="12">
      <c r="A12" s="11" t="inlineStr">
        <is>
          <t>Technology and infrastructure</t>
        </is>
      </c>
      <c r="C12" s="12" t="n">
        <v>2929</v>
      </c>
      <c r="D12" s="12" t="n">
        <v>961</v>
      </c>
      <c r="E12" s="12" t="n">
        <v>131</v>
      </c>
    </row>
    <row r="13">
      <c r="A13" s="11" t="inlineStr">
        <is>
          <t>Sales and marketing</t>
        </is>
      </c>
      <c r="C13" s="12" t="n">
        <v>144</v>
      </c>
      <c r="D13" s="12" t="n">
        <v>18</v>
      </c>
      <c r="E13" s="12" t="n">
        <v>13</v>
      </c>
    </row>
    <row r="14">
      <c r="A14" s="11" t="inlineStr">
        <is>
          <t>General and administrative</t>
        </is>
      </c>
      <c r="C14" s="12" t="n">
        <v>651</v>
      </c>
      <c r="D14" s="12" t="n">
        <v>119</v>
      </c>
      <c r="E14" s="12" t="n">
        <v>30</v>
      </c>
    </row>
    <row r="15">
      <c r="A15" s="11" t="inlineStr">
        <is>
          <t>Total operating expenses</t>
        </is>
      </c>
      <c r="C15" s="12" t="n">
        <v>5177</v>
      </c>
      <c r="D15" s="12" t="n">
        <v>1591</v>
      </c>
      <c r="E15" s="12" t="n">
        <v>243</v>
      </c>
    </row>
    <row r="16">
      <c r="A16" s="11" t="inlineStr">
        <is>
          <t>Operating income (loss)</t>
        </is>
      </c>
      <c r="C16" s="12" t="n">
        <v>-46</v>
      </c>
      <c r="D16" s="12" t="n">
        <v>324</v>
      </c>
      <c r="E16" s="12" t="n">
        <v>-14</v>
      </c>
    </row>
    <row r="17">
      <c r="A17" s="11" t="inlineStr">
        <is>
          <t>Gain (loss) on fair value adjustments</t>
        </is>
      </c>
      <c r="C17" s="12" t="n">
        <v>27</v>
      </c>
      <c r="D17" s="12" t="n">
        <v>-756</v>
      </c>
      <c r="E17" s="12" t="n">
        <v>-534</v>
      </c>
    </row>
    <row r="18">
      <c r="A18" s="11" t="inlineStr">
        <is>
          <t>Interest expense, net</t>
        </is>
      </c>
      <c r="B18" s="24" t="inlineStr">
        <is>
          <t>[1]</t>
        </is>
      </c>
      <c r="C18" s="12" t="n">
        <v>-1229</v>
      </c>
      <c r="D18" s="12" t="n">
        <v>-361</v>
      </c>
      <c r="E18" s="12" t="n">
        <v>-28</v>
      </c>
    </row>
    <row r="19">
      <c r="A19" s="11" t="inlineStr">
        <is>
          <t>Other income, net</t>
        </is>
      </c>
      <c r="C19" s="12" t="n">
        <v>33</v>
      </c>
      <c r="D19" s="12" t="n">
        <v>49</v>
      </c>
      <c r="E19" s="12" t="n">
        <v>18</v>
      </c>
    </row>
    <row r="20">
      <c r="A20" s="11" t="inlineStr">
        <is>
          <t>Loss before income taxes</t>
        </is>
      </c>
      <c r="C20" s="12" t="n">
        <v>-1215</v>
      </c>
      <c r="D20" s="12" t="n">
        <v>-744</v>
      </c>
      <c r="E20" s="12" t="n">
        <v>-558</v>
      </c>
    </row>
    <row r="21">
      <c r="A21" s="11" t="inlineStr">
        <is>
          <t>Provision for (benefit from) income taxes</t>
        </is>
      </c>
      <c r="C21" s="12" t="n">
        <v>-48</v>
      </c>
      <c r="D21" s="12" t="n">
        <v>119</v>
      </c>
      <c r="E21" s="12" t="n">
        <v>36</v>
      </c>
    </row>
    <row r="22">
      <c r="A22" s="11" t="inlineStr">
        <is>
          <t>Net loss and comprehensive loss</t>
        </is>
      </c>
      <c r="C22" s="12" t="n">
        <v>-1167</v>
      </c>
      <c r="D22" s="12" t="n">
        <v>-863</v>
      </c>
      <c r="E22" s="12" t="n">
        <v>-594</v>
      </c>
    </row>
    <row r="23">
      <c r="A23" s="11" t="inlineStr">
        <is>
          <t>Net loss attributable to common stockholders, basic</t>
        </is>
      </c>
      <c r="C23" s="12" t="n">
        <v>-1196</v>
      </c>
      <c r="D23" s="12" t="n">
        <v>-937</v>
      </c>
      <c r="E23" s="12" t="n">
        <v>-594</v>
      </c>
    </row>
    <row r="24">
      <c r="A24" s="11" t="inlineStr">
        <is>
          <t>Net loss attributable to common stockholders, diluted</t>
        </is>
      </c>
      <c r="C24" s="12" t="n">
        <v>-1223</v>
      </c>
      <c r="D24" s="12" t="n">
        <v>-937</v>
      </c>
      <c r="E24" s="12" t="n">
        <v>-594</v>
      </c>
    </row>
    <row r="25">
      <c r="A25" s="11" t="inlineStr">
        <is>
          <t>Net loss per share attributable to common stockholders, basic (in usd per share )</t>
        </is>
      </c>
      <c r="C25" s="16" t="n">
        <v>-2.75</v>
      </c>
      <c r="D25" s="16" t="n">
        <v>-4.3</v>
      </c>
      <c r="E25" s="16" t="n">
        <v>-3.09</v>
      </c>
    </row>
    <row r="26">
      <c r="A26" s="11" t="inlineStr">
        <is>
          <t>Net loss per share attributable to common stockholders, diluted (in usd per share )</t>
        </is>
      </c>
      <c r="C26" s="16" t="n">
        <v>-2.81</v>
      </c>
      <c r="D26" s="16" t="n">
        <v>-4.3</v>
      </c>
      <c r="E26" s="16" t="n">
        <v>-3.09</v>
      </c>
    </row>
    <row r="27">
      <c r="A27" s="11" t="inlineStr">
        <is>
          <t>Weighted-average shares used in computing net loss per share attributable to common stockholders, basic (in shares)</t>
        </is>
      </c>
      <c r="C27" s="16" t="n">
        <v>435</v>
      </c>
      <c r="D27" s="16" t="n">
        <v>218</v>
      </c>
      <c r="E27" s="16" t="n">
        <v>192</v>
      </c>
    </row>
    <row r="28">
      <c r="A28" s="11" t="inlineStr">
        <is>
          <t>Weighted-average shares used in computing net loss per share attributable to common stockholders, diluted (in shares)</t>
        </is>
      </c>
      <c r="C28" s="16" t="n">
        <v>436</v>
      </c>
      <c r="D28" s="16" t="n">
        <v>218</v>
      </c>
      <c r="E28" s="16" t="n">
        <v>192</v>
      </c>
    </row>
    <row r="30">
      <c r="A30" s="11" t="inlineStr">
        <is>
          <t>[1] Refer to Note 14—Related-Party Transactions for further information on related party arrangements.</t>
        </is>
      </c>
    </row>
    <row r="32">
      <c r="A32" s="13" t="inlineStr">
        <is>
          <t>Checks (added by us, NOT part of the SEC table) - all should be 0</t>
        </is>
      </c>
      <c r="B32" s="14" t="n"/>
      <c r="C32" s="14" t="n"/>
      <c r="D32" s="14" t="n"/>
      <c r="E32" s="14" t="n"/>
    </row>
    <row r="33">
      <c r="A33" s="11" t="inlineStr">
        <is>
          <t>Total operating expenses</t>
        </is>
      </c>
      <c r="C33" s="15">
        <f>SUM(C11:C14)-C15</f>
        <v/>
      </c>
      <c r="D33" s="15">
        <f>SUM(D11:D14)-D15</f>
        <v/>
      </c>
      <c r="E33" s="15">
        <f>SUM(E11:E14)-E15</f>
        <v/>
      </c>
    </row>
    <row r="34">
      <c r="A34" s="11" t="inlineStr">
        <is>
          <t>Operating income</t>
        </is>
      </c>
      <c r="C34" s="15">
        <f>C9-C15-C16</f>
        <v/>
      </c>
      <c r="D34" s="15">
        <f>D9-D15-D16</f>
        <v/>
      </c>
      <c r="E34" s="15">
        <f>E9-E15-E16</f>
        <v/>
      </c>
    </row>
    <row r="35">
      <c r="A35" s="11" t="inlineStr">
        <is>
          <t>Loss before income taxes</t>
        </is>
      </c>
      <c r="C35" s="15">
        <f>SUM(C16:C19)-C20</f>
        <v/>
      </c>
      <c r="D35" s="15">
        <f>SUM(D16:D19)-D20</f>
        <v/>
      </c>
      <c r="E35" s="15">
        <f>SUM(E16:E19)-E20</f>
        <v/>
      </c>
    </row>
    <row r="36">
      <c r="A36" s="11" t="inlineStr">
        <is>
          <t>Net loss</t>
        </is>
      </c>
      <c r="C36" s="15">
        <f>C20-C21-C22</f>
        <v/>
      </c>
      <c r="D36" s="15">
        <f>D20-D21-D22</f>
        <v/>
      </c>
      <c r="E36" s="15">
        <f>E20-E21-E22</f>
        <v/>
      </c>
    </row>
  </sheetData>
  <mergeCells count="2">
    <mergeCell ref="A6:B6"/>
    <mergeCell ref="C6:E6"/>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D82"/>
  <sheetViews>
    <sheetView showGridLines="0" zoomScaleNormal="100" workbookViewId="0">
      <pane xSplit="1" ySplit="7" topLeftCell="B8" activePane="bottomRight" state="frozen"/>
      <selection pane="topRight" activeCell="B1" sqref="B1"/>
      <selection pane="bottomLeft" activeCell="A8" sqref="A8"/>
      <selection pane="bottomRight" activeCell="A1" sqref="A1"/>
    </sheetView>
  </sheetViews>
  <sheetFormatPr baseColWidth="10" defaultColWidth="8.6640625" defaultRowHeight="15"/>
  <cols>
    <col width="70" customWidth="1" style="186" min="1" max="1"/>
    <col width="13" customWidth="1" style="186" min="2" max="4"/>
  </cols>
  <sheetData>
    <row r="1" ht="16.5" customHeight="1" s="186">
      <c r="A1" s="5" t="inlineStr">
        <is>
          <t>10-K FY2025 - Consolidated Statements of Cash Flows</t>
        </is>
      </c>
    </row>
    <row r="2">
      <c r="A2" s="6" t="inlineStr">
        <is>
          <t>Source: 10-K filed 2026-03-02, R8.htm</t>
        </is>
      </c>
    </row>
    <row r="3">
      <c r="A3" s="6" t="inlineStr">
        <is>
          <t>https://www.sec.gov/Archives/edgar/data/1769628/000176962826000104/R8.htm</t>
        </is>
      </c>
    </row>
    <row r="4">
      <c r="A4" s="6" t="inlineStr">
        <is>
          <t>Copied as shown ($ in millions).</t>
        </is>
      </c>
    </row>
    <row r="6" ht="15" customHeight="1" s="186">
      <c r="A6" s="189" t="inlineStr">
        <is>
          <t>CONSOLIDATED STATEMENTS OF CASH FLOWS - USD ($) $ in Millions</t>
        </is>
      </c>
      <c r="B6" s="185" t="inlineStr">
        <is>
          <t>12 Months Ended</t>
        </is>
      </c>
    </row>
    <row r="7">
      <c r="B7" s="185" t="inlineStr">
        <is>
          <t>Dec. 31, 2025</t>
        </is>
      </c>
      <c r="C7" s="185" t="inlineStr">
        <is>
          <t>Dec. 31, 2024</t>
        </is>
      </c>
      <c r="D7" s="185" t="inlineStr">
        <is>
          <t>Dec. 31, 2023</t>
        </is>
      </c>
    </row>
    <row r="8">
      <c r="A8" s="11" t="inlineStr">
        <is>
          <t>Cash flows from operating activities:</t>
        </is>
      </c>
    </row>
    <row r="9">
      <c r="A9" s="11" t="inlineStr">
        <is>
          <t>Net loss</t>
        </is>
      </c>
      <c r="B9" s="12" t="n">
        <v>-1167</v>
      </c>
      <c r="C9" s="12" t="n">
        <v>-863</v>
      </c>
      <c r="D9" s="12" t="n">
        <v>-594</v>
      </c>
    </row>
    <row r="10">
      <c r="A10" s="11" t="inlineStr">
        <is>
          <t>Adjustments to reconcile net loss to net cash provided by operating activities</t>
        </is>
      </c>
    </row>
    <row r="11">
      <c r="A11" s="11" t="inlineStr">
        <is>
          <t>Depreciation and amortization</t>
        </is>
      </c>
      <c r="B11" s="12" t="n">
        <v>2454</v>
      </c>
      <c r="C11" s="12" t="n">
        <v>863</v>
      </c>
      <c r="D11" s="12" t="n">
        <v>103</v>
      </c>
    </row>
    <row r="12">
      <c r="A12" s="11" t="inlineStr">
        <is>
          <t>Amortization of debt discounts and issuance costs and accretion of redemption premiums</t>
        </is>
      </c>
      <c r="B12" s="12" t="n">
        <v>110</v>
      </c>
      <c r="C12" s="12" t="n">
        <v>33</v>
      </c>
      <c r="D12" s="12" t="n">
        <v>16</v>
      </c>
    </row>
    <row r="13">
      <c r="A13" s="11" t="inlineStr">
        <is>
          <t>Stock-based compensation expense</t>
        </is>
      </c>
      <c r="B13" s="12" t="n">
        <v>630</v>
      </c>
      <c r="C13" s="12" t="n">
        <v>31</v>
      </c>
      <c r="D13" s="12" t="n">
        <v>15</v>
      </c>
    </row>
    <row r="14">
      <c r="A14" s="11" t="inlineStr">
        <is>
          <t>Non-cash lease expense</t>
        </is>
      </c>
      <c r="B14" s="12" t="n">
        <v>357</v>
      </c>
      <c r="C14" s="12" t="n">
        <v>123</v>
      </c>
      <c r="D14" s="12" t="n">
        <v>20</v>
      </c>
    </row>
    <row r="15">
      <c r="A15" s="11" t="inlineStr">
        <is>
          <t>Deferred income taxes</t>
        </is>
      </c>
      <c r="B15" s="12" t="n">
        <v>-53</v>
      </c>
      <c r="C15" s="12" t="n">
        <v>113</v>
      </c>
      <c r="D15" s="12" t="n">
        <v>36</v>
      </c>
    </row>
    <row r="16">
      <c r="A16" s="11" t="inlineStr">
        <is>
          <t>Loss (gain) on fair value adjustments</t>
        </is>
      </c>
      <c r="B16" s="12" t="n">
        <v>-27</v>
      </c>
      <c r="C16" s="12" t="n">
        <v>756</v>
      </c>
      <c r="D16" s="12" t="n">
        <v>534</v>
      </c>
    </row>
    <row r="17">
      <c r="A17" s="11" t="inlineStr">
        <is>
          <t>Debt extinguishment loss</t>
        </is>
      </c>
      <c r="B17" s="12" t="n">
        <v>19</v>
      </c>
      <c r="C17" s="12" t="n">
        <v>12</v>
      </c>
      <c r="D17" s="12" t="n">
        <v>0</v>
      </c>
    </row>
    <row r="18">
      <c r="A18" s="11" t="inlineStr">
        <is>
          <t>Other non-cash reconciling items</t>
        </is>
      </c>
      <c r="B18" s="12" t="n">
        <v>103</v>
      </c>
      <c r="C18" s="12" t="n">
        <v>3</v>
      </c>
      <c r="D18" s="12" t="n">
        <v>1</v>
      </c>
    </row>
    <row r="19">
      <c r="A19" s="11" t="inlineStr">
        <is>
          <t>Changes in operating assets and liabilities, net of effect of business acquisitions:</t>
        </is>
      </c>
    </row>
    <row r="20">
      <c r="A20" s="11" t="inlineStr">
        <is>
          <t>Accounts receivable</t>
        </is>
      </c>
      <c r="B20" s="12" t="n">
        <v>-2749</v>
      </c>
      <c r="C20" s="12" t="n">
        <v>-280</v>
      </c>
      <c r="D20" s="12" t="n">
        <v>-162</v>
      </c>
    </row>
    <row r="21">
      <c r="A21" s="11" t="inlineStr">
        <is>
          <t>Prepaid expenses and other assets</t>
        </is>
      </c>
      <c r="B21" s="12" t="n">
        <v>-784</v>
      </c>
      <c r="C21" s="12" t="n">
        <v>-514</v>
      </c>
      <c r="D21" s="12" t="n">
        <v>-139</v>
      </c>
    </row>
    <row r="22">
      <c r="A22" s="11" t="inlineStr">
        <is>
          <t>Accounts payable and accrued expenses</t>
        </is>
      </c>
      <c r="B22" s="12" t="n">
        <v>253</v>
      </c>
      <c r="C22" s="12" t="n">
        <v>511</v>
      </c>
      <c r="D22" s="12" t="n">
        <v>27</v>
      </c>
    </row>
    <row r="23">
      <c r="A23" s="11" t="inlineStr">
        <is>
          <t>Deferred revenue</t>
        </is>
      </c>
      <c r="B23" s="12" t="n">
        <v>4174</v>
      </c>
      <c r="C23" s="12" t="n">
        <v>2049</v>
      </c>
      <c r="D23" s="12" t="n">
        <v>1986</v>
      </c>
    </row>
    <row r="24">
      <c r="A24" s="11" t="inlineStr">
        <is>
          <t>Lease liabilities</t>
        </is>
      </c>
      <c r="B24" s="12" t="n">
        <v>-262</v>
      </c>
      <c r="C24" s="12" t="n">
        <v>-88</v>
      </c>
      <c r="D24" s="12" t="n">
        <v>-9</v>
      </c>
    </row>
    <row r="25">
      <c r="A25" s="11" t="inlineStr">
        <is>
          <t>Other liabilities</t>
        </is>
      </c>
      <c r="B25" s="12" t="n">
        <v>0</v>
      </c>
      <c r="C25" s="12" t="n">
        <v>0</v>
      </c>
      <c r="D25" s="12" t="n">
        <v>-1</v>
      </c>
    </row>
    <row r="26">
      <c r="A26" s="11" t="inlineStr">
        <is>
          <t>Net cash provided by operating activities</t>
        </is>
      </c>
      <c r="B26" s="12" t="n">
        <v>3058</v>
      </c>
      <c r="C26" s="12" t="n">
        <v>2749</v>
      </c>
      <c r="D26" s="12" t="n">
        <v>1833</v>
      </c>
    </row>
    <row r="27">
      <c r="A27" s="11" t="inlineStr">
        <is>
          <t>Cash flows from investing activities:</t>
        </is>
      </c>
    </row>
    <row r="28">
      <c r="A28" s="11" t="inlineStr">
        <is>
          <t>Purchase of property and equipment, including capitalized internal-use software</t>
        </is>
      </c>
      <c r="B28" s="12" t="n">
        <v>-10309</v>
      </c>
      <c r="C28" s="12" t="n">
        <v>-8702</v>
      </c>
      <c r="D28" s="12" t="n">
        <v>-2943</v>
      </c>
    </row>
    <row r="29">
      <c r="A29" s="11" t="inlineStr">
        <is>
          <t>Purchases of marketable securities</t>
        </is>
      </c>
      <c r="B29" s="12" t="n">
        <v>-47</v>
      </c>
      <c r="C29" s="12" t="n">
        <v>-34</v>
      </c>
      <c r="D29" s="12" t="n">
        <v>-172</v>
      </c>
    </row>
    <row r="30">
      <c r="A30" s="11" t="inlineStr">
        <is>
          <t>Maturities and sales of marketable securities</t>
        </is>
      </c>
      <c r="B30" s="12" t="n">
        <v>43</v>
      </c>
      <c r="C30" s="12" t="n">
        <v>188</v>
      </c>
      <c r="D30" s="12" t="n">
        <v>6</v>
      </c>
    </row>
    <row r="31">
      <c r="A31" s="11" t="inlineStr">
        <is>
          <t>Sales of warrants received as lease incentive</t>
        </is>
      </c>
      <c r="B31" s="12" t="n">
        <v>254</v>
      </c>
      <c r="C31" s="12" t="n">
        <v>0</v>
      </c>
      <c r="D31" s="12" t="n">
        <v>0</v>
      </c>
    </row>
    <row r="32">
      <c r="A32" s="11" t="inlineStr">
        <is>
          <t>Business combinations, net of cash acquired</t>
        </is>
      </c>
      <c r="B32" s="12" t="n">
        <v>-108</v>
      </c>
      <c r="C32" s="12" t="n">
        <v>0</v>
      </c>
      <c r="D32" s="12" t="n">
        <v>0</v>
      </c>
    </row>
    <row r="33">
      <c r="A33" s="11" t="inlineStr">
        <is>
          <t>Issuance of notes receivable</t>
        </is>
      </c>
      <c r="B33" s="12" t="n">
        <v>-90</v>
      </c>
      <c r="C33" s="12" t="n">
        <v>-60</v>
      </c>
      <c r="D33" s="12" t="n">
        <v>0</v>
      </c>
    </row>
    <row r="34">
      <c r="A34" s="11" t="inlineStr">
        <is>
          <t>Other investing activities</t>
        </is>
      </c>
      <c r="B34" s="12" t="n">
        <v>-14</v>
      </c>
      <c r="C34" s="12" t="n">
        <v>-50</v>
      </c>
      <c r="D34" s="12" t="n">
        <v>-39</v>
      </c>
    </row>
    <row r="35">
      <c r="A35" s="11" t="inlineStr">
        <is>
          <t>Net cash used in investing activities</t>
        </is>
      </c>
      <c r="B35" s="12" t="n">
        <v>-10271</v>
      </c>
      <c r="C35" s="12" t="n">
        <v>-8658</v>
      </c>
      <c r="D35" s="12" t="n">
        <v>-3148</v>
      </c>
    </row>
    <row r="36">
      <c r="A36" s="11" t="inlineStr">
        <is>
          <t>Cash flows from financing activities:</t>
        </is>
      </c>
    </row>
    <row r="37">
      <c r="A37" s="11" t="inlineStr">
        <is>
          <t>Proceeds from issuance of debt, net</t>
        </is>
      </c>
      <c r="B37" s="12" t="n">
        <v>11829</v>
      </c>
      <c r="C37" s="12" t="n">
        <v>7018</v>
      </c>
      <c r="D37" s="12" t="n">
        <v>1404</v>
      </c>
    </row>
    <row r="38">
      <c r="A38" s="11" t="inlineStr">
        <is>
          <t>Repayments of debt</t>
        </is>
      </c>
      <c r="B38" s="12" t="n">
        <v>-3399</v>
      </c>
      <c r="C38" s="12" t="n">
        <v>-589</v>
      </c>
      <c r="D38" s="12" t="n">
        <v>-2</v>
      </c>
    </row>
    <row r="39">
      <c r="A39" s="11" t="inlineStr">
        <is>
          <t>Purchase of capped calls related to convertible senior notes</t>
        </is>
      </c>
      <c r="B39" s="12" t="n">
        <v>-340</v>
      </c>
      <c r="C39" s="12" t="n">
        <v>0</v>
      </c>
      <c r="D39" s="12" t="n">
        <v>0</v>
      </c>
    </row>
    <row r="40">
      <c r="A40" s="11" t="inlineStr">
        <is>
          <t>Proceeds from initial public offering, net of underwriting discounts and commissions</t>
        </is>
      </c>
      <c r="B40" s="12" t="n">
        <v>1491</v>
      </c>
      <c r="C40" s="12" t="n">
        <v>0</v>
      </c>
      <c r="D40" s="12" t="n">
        <v>0</v>
      </c>
    </row>
    <row r="41">
      <c r="A41" s="11" t="inlineStr">
        <is>
          <t>Redeemable convertible preferred stock cash dividends paid</t>
        </is>
      </c>
      <c r="B41" s="12" t="n">
        <v>-29</v>
      </c>
      <c r="C41" s="12" t="n">
        <v>-58</v>
      </c>
      <c r="D41" s="12" t="n">
        <v>0</v>
      </c>
    </row>
    <row r="42">
      <c r="A42" s="11" t="inlineStr">
        <is>
          <t>Issuance of redeemable convertible preferred stock, net of issuance costs</t>
        </is>
      </c>
      <c r="B42" s="12" t="n">
        <v>0</v>
      </c>
      <c r="C42" s="12" t="n">
        <v>1172</v>
      </c>
      <c r="D42" s="12" t="n">
        <v>421</v>
      </c>
    </row>
    <row r="43">
      <c r="A43" s="11" t="inlineStr">
        <is>
          <t>Payment of tax withholdings on settlement of restricted stock units</t>
        </is>
      </c>
      <c r="B43" s="12" t="n">
        <v>-144</v>
      </c>
      <c r="C43" s="12" t="n">
        <v>0</v>
      </c>
      <c r="D43" s="12" t="n">
        <v>0</v>
      </c>
    </row>
    <row r="44">
      <c r="A44" s="11" t="inlineStr">
        <is>
          <t>Proceeds from exercise of stock options</t>
        </is>
      </c>
      <c r="B44" s="12" t="n">
        <v>20</v>
      </c>
      <c r="C44" s="12" t="n">
        <v>3</v>
      </c>
      <c r="D44" s="12" t="n">
        <v>2</v>
      </c>
    </row>
    <row r="45">
      <c r="A45" s="11" t="inlineStr">
        <is>
          <t>Proceeds from issuance of common stock</t>
        </is>
      </c>
      <c r="B45" s="12" t="n">
        <v>0</v>
      </c>
      <c r="C45" s="12" t="n">
        <v>0</v>
      </c>
      <c r="D45" s="12" t="n">
        <v>15</v>
      </c>
    </row>
    <row r="46">
      <c r="A46" s="11" t="inlineStr">
        <is>
          <t>Other financing activities</t>
        </is>
      </c>
      <c r="B46" s="12" t="n">
        <v>-120</v>
      </c>
      <c r="C46" s="12" t="n">
        <v>-82</v>
      </c>
      <c r="D46" s="12" t="n">
        <v>-52</v>
      </c>
    </row>
    <row r="47">
      <c r="A47" s="11" t="inlineStr">
        <is>
          <t>Net cash provided by financing activities</t>
        </is>
      </c>
      <c r="B47" s="12" t="n">
        <v>9308</v>
      </c>
      <c r="C47" s="12" t="n">
        <v>7464</v>
      </c>
      <c r="D47" s="12" t="n">
        <v>1788</v>
      </c>
    </row>
    <row r="48">
      <c r="A48" s="11" t="inlineStr">
        <is>
          <t>Net increase in cash, cash equivalents, and restricted cash</t>
        </is>
      </c>
      <c r="B48" s="12" t="n">
        <v>2095</v>
      </c>
      <c r="C48" s="12" t="n">
        <v>1555</v>
      </c>
      <c r="D48" s="12" t="n">
        <v>473</v>
      </c>
    </row>
    <row r="49">
      <c r="A49" s="11" t="inlineStr">
        <is>
          <t>Cash, cash equivalents, and restricted cash—beginning of period</t>
        </is>
      </c>
      <c r="B49" s="12" t="n">
        <v>2035</v>
      </c>
      <c r="C49" s="12" t="n">
        <v>480</v>
      </c>
      <c r="D49" s="12" t="n">
        <v>7</v>
      </c>
    </row>
    <row r="50">
      <c r="A50" s="11" t="inlineStr">
        <is>
          <t>Cash, cash equivalents, and restricted cash—end of period</t>
        </is>
      </c>
      <c r="B50" s="12" t="n">
        <v>4130</v>
      </c>
      <c r="C50" s="12" t="n">
        <v>2035</v>
      </c>
      <c r="D50" s="12" t="n">
        <v>480</v>
      </c>
    </row>
    <row r="51">
      <c r="A51" s="11" t="inlineStr">
        <is>
          <t>Supplemental disclosures of cash flow information:</t>
        </is>
      </c>
    </row>
    <row r="52">
      <c r="A52" s="11" t="inlineStr">
        <is>
          <t>Cash paid for interest, net of capitalized amounts</t>
        </is>
      </c>
      <c r="B52" s="12" t="n">
        <v>869</v>
      </c>
      <c r="C52" s="12" t="n">
        <v>184</v>
      </c>
      <c r="D52" s="12" t="n">
        <v>0</v>
      </c>
    </row>
    <row r="53">
      <c r="A53" s="11" t="inlineStr">
        <is>
          <t>Non-cash investing and financing activities:</t>
        </is>
      </c>
    </row>
    <row r="54">
      <c r="A54" s="11" t="inlineStr">
        <is>
          <t>Liabilities related to property and equipment additions, including OEM financed additions</t>
        </is>
      </c>
      <c r="B54" s="12" t="n">
        <v>11151</v>
      </c>
      <c r="C54" s="12" t="n">
        <v>893</v>
      </c>
      <c r="D54" s="12" t="n">
        <v>482</v>
      </c>
    </row>
    <row r="55">
      <c r="A55" s="11" t="inlineStr">
        <is>
          <t>Operating lease right-of-use assets acquired through lease liability</t>
        </is>
      </c>
      <c r="B55" s="12" t="n">
        <v>5836</v>
      </c>
      <c r="C55" s="12" t="n">
        <v>2222</v>
      </c>
      <c r="D55" s="12" t="n">
        <v>481</v>
      </c>
    </row>
    <row r="56">
      <c r="A56" s="11" t="inlineStr">
        <is>
          <t>Finance lease right-of-use assets acquired through lease liability</t>
        </is>
      </c>
      <c r="B56" s="12" t="n">
        <v>343</v>
      </c>
      <c r="C56" s="12" t="n">
        <v>142</v>
      </c>
      <c r="D56" s="12" t="n">
        <v>0</v>
      </c>
    </row>
    <row r="57">
      <c r="A57" s="11" t="inlineStr">
        <is>
          <t>Warrants received as lease incentive</t>
        </is>
      </c>
      <c r="B57" s="12" t="n">
        <v>222</v>
      </c>
      <c r="C57" s="12" t="n">
        <v>0</v>
      </c>
      <c r="D57" s="12" t="n">
        <v>0</v>
      </c>
    </row>
    <row r="58">
      <c r="A58" s="11" t="inlineStr">
        <is>
          <t>Conversion of redeemable convertible preferred stock in connection with initial public offering</t>
        </is>
      </c>
      <c r="B58" s="12" t="n">
        <v>1722</v>
      </c>
      <c r="C58" s="12" t="n">
        <v>0</v>
      </c>
      <c r="D58" s="12" t="n">
        <v>0</v>
      </c>
    </row>
    <row r="59">
      <c r="A59" s="11" t="inlineStr">
        <is>
          <t>Reclassification of redeemable Class A common stock to Class A common stock</t>
        </is>
      </c>
      <c r="B59" s="12" t="n">
        <v>1163</v>
      </c>
      <c r="C59" s="12" t="n">
        <v>0</v>
      </c>
      <c r="D59" s="12" t="n">
        <v>0</v>
      </c>
    </row>
    <row r="60">
      <c r="A60" s="11" t="inlineStr">
        <is>
          <t>Issuance of common stock, restricted stock units, and restricted stock awards for business combinations</t>
        </is>
      </c>
      <c r="B60" s="12" t="n">
        <v>1013</v>
      </c>
      <c r="C60" s="12" t="n">
        <v>0</v>
      </c>
      <c r="D60" s="12" t="n">
        <v>0</v>
      </c>
    </row>
    <row r="61">
      <c r="A61" s="11" t="inlineStr">
        <is>
          <t>Fair value of convertible promissory note issued for a business combination</t>
        </is>
      </c>
      <c r="B61" s="12" t="n">
        <v>167</v>
      </c>
      <c r="C61" s="12" t="n">
        <v>0</v>
      </c>
      <c r="D61" s="12" t="n">
        <v>0</v>
      </c>
    </row>
    <row r="62">
      <c r="A62" s="11" t="inlineStr">
        <is>
          <t>Issuance of common stock for contract incentive</t>
        </is>
      </c>
      <c r="B62" s="12" t="n">
        <v>350</v>
      </c>
      <c r="C62" s="12" t="n">
        <v>0</v>
      </c>
      <c r="D62" s="12" t="n">
        <v>0</v>
      </c>
    </row>
    <row r="63">
      <c r="A63" s="11" t="inlineStr">
        <is>
          <t>Reclassification of warrant liabilities to equity</t>
        </is>
      </c>
      <c r="B63" s="12" t="n">
        <v>173</v>
      </c>
      <c r="C63" s="12" t="n">
        <v>0</v>
      </c>
      <c r="D63" s="12" t="n">
        <v>0</v>
      </c>
    </row>
    <row r="64">
      <c r="A64" s="11" t="inlineStr">
        <is>
          <t>Issuance of common stock in connection with conversion of convertible notes</t>
        </is>
      </c>
      <c r="B64" s="12" t="n">
        <v>0</v>
      </c>
      <c r="C64" s="12" t="n">
        <v>1080</v>
      </c>
      <c r="D64" s="12" t="n">
        <v>0</v>
      </c>
    </row>
    <row r="65">
      <c r="A65" s="11" t="inlineStr">
        <is>
          <t>Reclassification of customer deposit to debt</t>
        </is>
      </c>
      <c r="B65" s="12" t="n">
        <v>230</v>
      </c>
      <c r="C65" s="12" t="n">
        <v>0</v>
      </c>
      <c r="D65" s="12" t="n">
        <v>0</v>
      </c>
    </row>
    <row r="66">
      <c r="A66" s="11" t="inlineStr">
        <is>
          <t>Capitalized interest not yet paid</t>
        </is>
      </c>
      <c r="B66" s="12" t="n">
        <v>69</v>
      </c>
      <c r="C66" s="12" t="n">
        <v>32</v>
      </c>
      <c r="D66" s="12" t="n">
        <v>41</v>
      </c>
    </row>
    <row r="67">
      <c r="A67" s="11" t="inlineStr">
        <is>
          <t>Stock-based compensation capitalized as internal-use software</t>
        </is>
      </c>
      <c r="B67" s="12" t="n">
        <v>59</v>
      </c>
      <c r="C67" s="12" t="n">
        <v>7</v>
      </c>
      <c r="D67" s="12" t="n">
        <v>2</v>
      </c>
    </row>
    <row r="68">
      <c r="A68" s="11" t="inlineStr">
        <is>
          <t>Settlement of Series B tranche liability</t>
        </is>
      </c>
      <c r="B68" s="12" t="n">
        <v>0</v>
      </c>
      <c r="C68" s="12" t="n">
        <v>70</v>
      </c>
      <c r="D68" s="12" t="n">
        <v>46</v>
      </c>
    </row>
    <row r="69">
      <c r="A69" s="11" t="inlineStr">
        <is>
          <t>Non-cash investments</t>
        </is>
      </c>
      <c r="B69" s="12" t="n">
        <v>77</v>
      </c>
      <c r="C69" s="12" t="n">
        <v>10</v>
      </c>
      <c r="D69" s="12" t="n">
        <v>0</v>
      </c>
    </row>
    <row r="70">
      <c r="A70" s="11" t="inlineStr">
        <is>
          <t>Reconciliation of cash, cash equivalents, and restricted cash to consolidated balance sheets:</t>
        </is>
      </c>
    </row>
    <row r="71">
      <c r="A71" s="11" t="inlineStr">
        <is>
          <t>Cash and cash equivalents</t>
        </is>
      </c>
      <c r="B71" s="12" t="n">
        <v>3127</v>
      </c>
      <c r="C71" s="12" t="n">
        <v>1361</v>
      </c>
      <c r="D71" s="12" t="n">
        <v>217</v>
      </c>
    </row>
    <row r="72">
      <c r="A72" s="11" t="inlineStr">
        <is>
          <t>Restricted cash and cash equivalents, current</t>
        </is>
      </c>
      <c r="B72" s="12" t="n">
        <v>819</v>
      </c>
      <c r="C72" s="12" t="n">
        <v>37</v>
      </c>
      <c r="D72" s="12" t="n">
        <v>43</v>
      </c>
    </row>
    <row r="73">
      <c r="A73" s="11" t="inlineStr">
        <is>
          <t>Restricted cash and cash equivalents, non-current</t>
        </is>
      </c>
      <c r="B73" s="12" t="n">
        <v>184</v>
      </c>
      <c r="C73" s="12" t="n">
        <v>637</v>
      </c>
      <c r="D73" s="12" t="n">
        <v>220</v>
      </c>
    </row>
    <row r="74">
      <c r="A74" s="11" t="inlineStr">
        <is>
          <t>Total cash, cash equivalents, and restricted cash</t>
        </is>
      </c>
      <c r="B74" s="12" t="n">
        <v>4130</v>
      </c>
      <c r="C74" s="12" t="n">
        <v>2035</v>
      </c>
      <c r="D74" s="12" t="n">
        <v>480</v>
      </c>
    </row>
    <row r="76">
      <c r="A76" s="13" t="inlineStr">
        <is>
          <t>Checks (added by us, NOT part of the SEC table) - all should be 0</t>
        </is>
      </c>
      <c r="B76" s="14" t="n"/>
      <c r="C76" s="14" t="n"/>
      <c r="D76" s="14" t="n"/>
    </row>
    <row r="77">
      <c r="A77" s="11" t="inlineStr">
        <is>
          <t>Operating activities</t>
        </is>
      </c>
      <c r="B77" s="15">
        <f>SUM(B9:B25)-B26</f>
        <v/>
      </c>
      <c r="C77" s="15">
        <f>SUM(C9:C25)-C26</f>
        <v/>
      </c>
      <c r="D77" s="15">
        <f>SUM(D9:D25)-D26</f>
        <v/>
      </c>
    </row>
    <row r="78">
      <c r="A78" s="11" t="inlineStr">
        <is>
          <t>Investing activities</t>
        </is>
      </c>
      <c r="B78" s="15">
        <f>SUM(B28:B34)-B35</f>
        <v/>
      </c>
      <c r="C78" s="15">
        <f>SUM(C28:C34)-C35</f>
        <v/>
      </c>
      <c r="D78" s="15">
        <f>SUM(D28:D34)-D35</f>
        <v/>
      </c>
    </row>
    <row r="79">
      <c r="A79" s="11" t="inlineStr">
        <is>
          <t>Financing activities</t>
        </is>
      </c>
      <c r="B79" s="15">
        <f>SUM(B37:B46)-B47</f>
        <v/>
      </c>
      <c r="C79" s="15">
        <f>SUM(C37:C46)-C47</f>
        <v/>
      </c>
      <c r="D79" s="15">
        <f>SUM(D37:D46)-D47</f>
        <v/>
      </c>
    </row>
    <row r="80">
      <c r="A80" s="11" t="inlineStr">
        <is>
          <t>Net change in cash</t>
        </is>
      </c>
      <c r="B80" s="15">
        <f>B26+B35+B47-B48</f>
        <v/>
      </c>
      <c r="C80" s="15">
        <f>C26+C35+C47-C48</f>
        <v/>
      </c>
      <c r="D80" s="15">
        <f>D26+D35+D47-D48</f>
        <v/>
      </c>
    </row>
    <row r="81">
      <c r="A81" s="11" t="inlineStr">
        <is>
          <t>Cash roll-forward</t>
        </is>
      </c>
      <c r="B81" s="15">
        <f>B49+B48-B50</f>
        <v/>
      </c>
      <c r="C81" s="15">
        <f>C49+C48-C50</f>
        <v/>
      </c>
      <c r="D81" s="15">
        <f>D49+D48-D50</f>
        <v/>
      </c>
    </row>
    <row r="82">
      <c r="A82" s="11" t="inlineStr">
        <is>
          <t>Cash reconciliation</t>
        </is>
      </c>
      <c r="B82" s="15">
        <f>SUM(B71:B73)-B74</f>
        <v/>
      </c>
      <c r="C82" s="15">
        <f>SUM(C71:C73)-C74</f>
        <v/>
      </c>
      <c r="D82" s="15">
        <f>SUM(D71:D73)-D74</f>
        <v/>
      </c>
    </row>
  </sheetData>
  <mergeCells count="1">
    <mergeCell ref="B6:D6"/>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C71"/>
  <sheetViews>
    <sheetView showGridLines="0" zoomScaleNormal="100" workbookViewId="0">
      <pane ySplit="6" topLeftCell="A7" activePane="bottomLeft" state="frozen"/>
      <selection pane="bottomLeft" activeCell="A1" sqref="A1"/>
    </sheetView>
  </sheetViews>
  <sheetFormatPr baseColWidth="10" defaultColWidth="8.6640625" defaultRowHeight="15"/>
  <cols>
    <col width="5" customWidth="1" style="186" min="1" max="1"/>
    <col width="30" customWidth="1" style="186" min="2" max="2"/>
    <col width="130" customWidth="1" style="186" min="3" max="3"/>
  </cols>
  <sheetData>
    <row r="1" ht="16.5" customHeight="1" s="186">
      <c r="A1" s="5" t="inlineStr">
        <is>
          <t>10-K FY2025 - Note 10 Debt (full text)</t>
        </is>
      </c>
    </row>
    <row r="2">
      <c r="A2" s="6" t="inlineStr">
        <is>
          <t>Source: 10-K filed 2026-03-02, R18.htm 'Debt'</t>
        </is>
      </c>
    </row>
    <row r="3">
      <c r="A3" s="6" t="inlineStr">
        <is>
          <t>https://www.sec.gov/Archives/edgar/data/1769628/000176962826000104/R18.htm</t>
        </is>
      </c>
    </row>
    <row r="4" ht="42" customHeight="1" s="186">
      <c r="A4" s="188" t="inlineStr">
        <is>
          <t>Full note text, word for word, one paragraph per row, in the original order. Column B repeats the nearest heading above (navigation only). Where SEC splits a paragraph across a page break it stays split. [TABLE] = a table in the note: Dec-25 tables not copied (superseded by the Q2 10-Q). Use this tab for terms of debt that the Q2 10-Q does not repeat (DDTL 1.0-3.0, 2030/2031 notes, 2031 converts, revolver history, OEM, Magnetar).</t>
        </is>
      </c>
    </row>
    <row r="6">
      <c r="A6" s="8" t="inlineStr">
        <is>
          <t>¶</t>
        </is>
      </c>
      <c r="B6" s="8" t="inlineStr">
        <is>
          <t>Section (heading in source)</t>
        </is>
      </c>
      <c r="C6" s="8" t="inlineStr">
        <is>
          <t>Text (verbatim)</t>
        </is>
      </c>
    </row>
    <row r="7" ht="13.5" customHeight="1" s="186">
      <c r="A7" s="6" t="n">
        <v>1</v>
      </c>
      <c r="B7" s="188" t="inlineStr">
        <is>
          <t>(note intro)</t>
        </is>
      </c>
      <c r="C7" s="22" t="inlineStr">
        <is>
          <t>The total debt obligations are as follows (dollars in millions):</t>
        </is>
      </c>
    </row>
    <row r="8" ht="13.5" customHeight="1" s="186">
      <c r="A8" s="6" t="n">
        <v>2</v>
      </c>
      <c r="B8" s="188" t="inlineStr">
        <is>
          <t>(note intro)</t>
        </is>
      </c>
      <c r="C8" s="188" t="inlineStr">
        <is>
          <t>[TABLE]</t>
        </is>
      </c>
    </row>
    <row r="9" ht="13.5" customHeight="1" s="186">
      <c r="A9" s="6" t="n">
        <v>3</v>
      </c>
      <c r="B9" s="188" t="inlineStr">
        <is>
          <t>(note intro)</t>
        </is>
      </c>
      <c r="C9" s="22" t="inlineStr">
        <is>
          <t>As of December 31, 2025, the future principal payments for the Company's total debt were as follows (in millions):</t>
        </is>
      </c>
    </row>
    <row r="10" ht="13.5" customHeight="1" s="186">
      <c r="A10" s="6" t="n">
        <v>4</v>
      </c>
      <c r="B10" s="188" t="inlineStr">
        <is>
          <t>(note intro)</t>
        </is>
      </c>
      <c r="C10" s="188" t="inlineStr">
        <is>
          <t>[TABLE]</t>
        </is>
      </c>
    </row>
    <row r="11" ht="13.5" customHeight="1" s="186">
      <c r="A11" s="6" t="n">
        <v>5</v>
      </c>
      <c r="B11" s="188" t="inlineStr">
        <is>
          <t>(note intro)</t>
        </is>
      </c>
      <c r="C11" s="22" t="inlineStr">
        <is>
          <t>The total interest expense for the Company's debt obligations was as follows (in millions):</t>
        </is>
      </c>
    </row>
    <row r="12" ht="13.5" customHeight="1" s="186">
      <c r="A12" s="6" t="n">
        <v>6</v>
      </c>
      <c r="B12" s="188" t="inlineStr">
        <is>
          <t>(note intro)</t>
        </is>
      </c>
      <c r="C12" s="188" t="inlineStr">
        <is>
          <t>[TABLE]</t>
        </is>
      </c>
    </row>
    <row r="13" ht="25.5" customHeight="1" s="186">
      <c r="A13" s="6" t="n">
        <v>7</v>
      </c>
      <c r="B13" s="188" t="inlineStr">
        <is>
          <t>(note intro)</t>
        </is>
      </c>
      <c r="C13" s="22" t="inlineStr">
        <is>
          <t>In the year ended December 31, 2025, the Company entered into DDTL Facilities and issued Senior Notes (each as defined in Note 10—Debt) as follows (dollars in millions):</t>
        </is>
      </c>
    </row>
    <row r="14" ht="13.5" customHeight="1" s="186">
      <c r="A14" s="6" t="n">
        <v>8</v>
      </c>
      <c r="B14" s="188" t="inlineStr">
        <is>
          <t>(note intro)</t>
        </is>
      </c>
      <c r="C14" s="188" t="inlineStr">
        <is>
          <t>[TABLE]</t>
        </is>
      </c>
    </row>
    <row r="15" ht="25.5" customHeight="1" s="186">
      <c r="A15" s="6" t="n">
        <v>9</v>
      </c>
      <c r="B15" s="188" t="inlineStr">
        <is>
          <t>(note intro)</t>
        </is>
      </c>
      <c r="C15" s="22" t="inlineStr">
        <is>
          <t>(1) DDTL Facilities are subject to an interest rate per annum equal to, at the Company's option, either the SOFR or the alternative base rate plus a spread.</t>
        </is>
      </c>
    </row>
    <row r="16" ht="13.5" customHeight="1" s="186">
      <c r="A16" s="6" t="n">
        <v>10</v>
      </c>
      <c r="B16" s="188" t="inlineStr">
        <is>
          <t>(note intro)</t>
        </is>
      </c>
      <c r="C16" s="22" t="inlineStr">
        <is>
          <t>(2) Amounts represent borrowing capacity for the DDTL Facilities and the principal amounts for the Senior Notes.</t>
        </is>
      </c>
    </row>
    <row r="17" ht="13.5" customHeight="1" s="186">
      <c r="A17" s="6" t="n">
        <v>11</v>
      </c>
      <c r="B17" s="188" t="inlineStr">
        <is>
          <t>Delayed Draw Term Loans ("DDTL")</t>
        </is>
      </c>
      <c r="C17" s="23" t="inlineStr">
        <is>
          <t>Delayed Draw Term Loans ("DDTL")</t>
        </is>
      </c>
    </row>
    <row r="18" ht="39" customHeight="1" s="186">
      <c r="A18" s="6" t="n">
        <v>12</v>
      </c>
      <c r="B18" s="188" t="inlineStr">
        <is>
          <t>Delayed Draw Term Loans ("DDTL")</t>
        </is>
      </c>
      <c r="C18" s="22" t="inlineStr">
        <is>
          <t>In July 2023, the Company entered into a Delayed Draw Term Loan 1.0 Facility (as amended, the "DDTL 1.0 Facility"), which provided for a delayed draw term loan facility of up to $2.3 billion. The principal amount of the DDTL 1.0 Facility is required to be repaid in quarterly installments, with the final payment due on March 28, 2028.</t>
        </is>
      </c>
    </row>
    <row r="19" ht="39" customHeight="1" s="186">
      <c r="A19" s="6" t="n">
        <v>13</v>
      </c>
      <c r="B19" s="188" t="inlineStr">
        <is>
          <t>Delayed Draw Term Loans ("DDTL")</t>
        </is>
      </c>
      <c r="C19" s="22" t="inlineStr">
        <is>
          <t>In May 2024, the Company entered into a Delayed Draw Term Loan 2.0 Facility (as amended, the "DDTL 2.0 Facility"), which provides for a delayed draw term loan facility of up to $7.6 billion. The principal amount of the DDTL 2.0 Facility is required to be repaid in quarterly installments, beginning in January 2026, with the final payment due five years after the applicable loan was funded.</t>
        </is>
      </c>
    </row>
    <row r="20" ht="103.5" customHeight="1" s="186">
      <c r="A20" s="6" t="n">
        <v>14</v>
      </c>
      <c r="B20" s="188" t="inlineStr">
        <is>
          <t>Delayed Draw Term Loans ("DDTL")</t>
        </is>
      </c>
      <c r="C20" s="22" t="inlineStr">
        <is>
          <t>In July 2025, the Company entered into a Delayed Draw Term Loan 3.0 Facility (as amended, the "DDTL 3.0 Facility"), which provides for a delayed draw term loan facility of up to $2.6 billion that may be drawn through July 2026. The principal amount of the DDTL 3.0 Facility is required to be repaid in monthly installments, beginning in April 2026, with the final payment due in August 2030. The Company is required to pay a fee of 0.50% per annum on the undrawn commitment. In conjunction with the issuance of the DDTL 3.0 Facility, the Company capitalized $82 million in debt discount and issuance costs. Under the DDTL 3.0 Facility, the Company is required to enter into interest rate swap agreements within 45 days of the closing date covering a notional amount of not less than 75% of the reasonably anticipated outstanding floating-rate loans until the maturity date. As of December 31, 2025, the Company is in compliance with this requirement.</t>
        </is>
      </c>
    </row>
    <row r="21" ht="64.5" customHeight="1" s="186">
      <c r="A21" s="6" t="n">
        <v>15</v>
      </c>
      <c r="B21" s="188" t="inlineStr">
        <is>
          <t>Delayed Draw Term Loans ("DDTL")</t>
        </is>
      </c>
      <c r="C21" s="22" t="inlineStr">
        <is>
          <t>In September 2025, the Company further amended the DDTL 2.0 Facility (as amended, the "DDTL 2.1 Facility," and together with the DDTL 1.0 Facility, the DDTL 2.0 Facility, and the DDTL 3.0 Facility, the "DDTL Facilities") to create a new tranche of delayed draw term loan facility up to $3.0 billion that may be drawn through March 2026. The principal amount of the DDTL 2.1 Facility is required to be repaid in quarterly installments, beginning in July 2026, with the final payment due five years after the applicable loan was funded. The terms of the draws under the DDTL 2.0 Facility remain unchanged.</t>
        </is>
      </c>
    </row>
    <row r="22" ht="78" customHeight="1" s="186">
      <c r="A22" s="6" t="n">
        <v>16</v>
      </c>
      <c r="B22" s="188" t="inlineStr">
        <is>
          <t>Delayed Draw Term Loans ("DDTL")</t>
        </is>
      </c>
      <c r="C22" s="22" t="inlineStr">
        <is>
          <t>The total loans available provided by the DDTL Facilities are constrained by the purchase price of assets for which the loans are being used to finance with such percentage based upon the depreciable cost of graphics processing unit ("GPU") servers. Borrowings under the DDTL Facilities are used to finance a portion of the purchase considerations, fees, and expenses relating to the acquisition of computing equipment. Obligations outstanding under the DDTL Facilities are secured by perfected first priority pledges of and security interests in (i) the equity interests of the respective subsidiaries held by its direct parent and (ii) substantially all of the assets of the respective subsidiaries.</t>
        </is>
      </c>
    </row>
    <row r="23" ht="39" customHeight="1" s="186">
      <c r="A23" s="6" t="n">
        <v>17</v>
      </c>
      <c r="B23" s="188" t="inlineStr">
        <is>
          <t>Delayed Draw Term Loans ("DDTL")</t>
        </is>
      </c>
      <c r="C23" s="22" t="inlineStr">
        <is>
          <t>The outstanding loan amounts are prepayable at any time, from time to time, at the Company's option, and are required to be prepaid upon the occurrence of an event of default or change of control of the Company, or with the proceeds of certain asset dispositions or incurrences of indebtedness.</t>
        </is>
      </c>
    </row>
    <row r="24" ht="51.75" customHeight="1" s="186">
      <c r="A24" s="6" t="n">
        <v>18</v>
      </c>
      <c r="B24" s="188" t="inlineStr">
        <is>
          <t>Delayed Draw Term Loans ("DDTL")</t>
        </is>
      </c>
      <c r="C24" s="22" t="inlineStr">
        <is>
          <t>Furthermore, all obligations under the DDTL Facilities are unconditionally guaranteed by the Company. They contain covenants that restrict the ability of the Company and/or the respective subsidiaries to incur or guarantee additional indebtedness; pay dividends and make other distributions or repurchase stock; make certain investments; create or incur liens; sell assets; enter into certain transactions with affiliates; and merge, consolidate, transfer, or sell all or substantially all of its assets.</t>
        </is>
      </c>
    </row>
    <row r="25" ht="25.5" customHeight="1" s="186">
      <c r="A25" s="6" t="n">
        <v>19</v>
      </c>
      <c r="B25" s="188" t="inlineStr">
        <is>
          <t>Delayed Draw Term Loans ("DDTL")</t>
        </is>
      </c>
      <c r="C25" s="22" t="inlineStr">
        <is>
          <t>The DDTL Facilities require the maintenance of restricted cash balances based on a percentage of drawn amounts, subject to specified caps or specified amounts.</t>
        </is>
      </c>
    </row>
    <row r="26" ht="13.5" customHeight="1" s="186">
      <c r="A26" s="6" t="n">
        <v>20</v>
      </c>
      <c r="B26" s="188" t="inlineStr">
        <is>
          <t>Senior Notes</t>
        </is>
      </c>
      <c r="C26" s="23" t="inlineStr">
        <is>
          <t>Senior Notes</t>
        </is>
      </c>
    </row>
    <row r="27" ht="51.75" customHeight="1" s="186">
      <c r="A27" s="6" t="n">
        <v>21</v>
      </c>
      <c r="B27" s="188" t="inlineStr">
        <is>
          <t>Senior Notes</t>
        </is>
      </c>
      <c r="C27" s="22" t="inlineStr">
        <is>
          <t>In May 2025, the Company issued $2.0 billion in aggregate principal amount of senior notes due on June 1, 2030 (the "2030 Senior Notes") in a private placement offering to qualified institutional buyers pursuant to Rule 144A under the Securities Act of 1933, as amended (the "Securities Act"). In conjunction with the issuance of the 2030 Senior Notes, the Company capitalized $37 million in debt discount and issuance costs.</t>
        </is>
      </c>
    </row>
    <row r="28" ht="51.75" customHeight="1" s="186">
      <c r="A28" s="6" t="n">
        <v>22</v>
      </c>
      <c r="B28" s="188" t="inlineStr">
        <is>
          <t>Senior Notes</t>
        </is>
      </c>
      <c r="C28" s="22" t="inlineStr">
        <is>
          <t>In July 2025, the Company issued $1.8 billion in aggregate principal amount of senior notes due on February 1, 2031 (the "2031 Senior Notes") in a private placement offering to qualified institutional buyers pursuant to Rule 144A under the Securities Act, and to non-U.S. persons pursuant to Regulation S under the Securities Act. In conjunction with the issuance of the 2031 Senior Notes, the Company capitalized $31 million in debt discount and issuance costs.</t>
        </is>
      </c>
    </row>
    <row r="29" ht="64.5" customHeight="1" s="186">
      <c r="A29" s="6" t="n">
        <v>23</v>
      </c>
      <c r="B29" s="188" t="inlineStr">
        <is>
          <t>Senior Notes</t>
        </is>
      </c>
      <c r="C29" s="22" t="inlineStr">
        <is>
          <t>The proceeds from the issuance of the 2030 Senior Notes and 2031 Senior Notes (collectively the "Senior Notes") were retained for general corporate purposes. The Senior Notes are unsecured obligations and bear interest payable semi-annually in arrears. The Company may redeem all or a portion of the Senior Notes at any time prior to their maturity at a redemption set forth in the respective indentures. The Senior Notes include customary terms and covenants, including certain events of default, after which the Senior Notes may be due and payable immediately at a price set forth in the indentures.</t>
        </is>
      </c>
    </row>
    <row r="30" ht="25.5" customHeight="1" s="186">
      <c r="A30" s="6" t="n">
        <v>24</v>
      </c>
      <c r="B30" s="188" t="inlineStr">
        <is>
          <t>Senior Notes</t>
        </is>
      </c>
      <c r="C30" s="22" t="inlineStr">
        <is>
          <t>As of December 31, 2025, the estimated fair value of the Senior Notes was $3.5 billion which was based on observable market prices of identical instruments in less active markets and were categorized as Level 2 in the fair value hierarchy.</t>
        </is>
      </c>
    </row>
    <row r="31" ht="13.5" customHeight="1" s="186">
      <c r="A31" s="6" t="n">
        <v>25</v>
      </c>
      <c r="B31" s="188" t="inlineStr">
        <is>
          <t>Senior Notes</t>
        </is>
      </c>
      <c r="C31" s="22" t="inlineStr">
        <is>
          <t>2031 Convertible Senior Notes</t>
        </is>
      </c>
    </row>
    <row r="32" ht="39" customHeight="1" s="186">
      <c r="A32" s="6" t="n">
        <v>26</v>
      </c>
      <c r="B32" s="188" t="inlineStr">
        <is>
          <t>Senior Notes</t>
        </is>
      </c>
      <c r="C32" s="22" t="inlineStr">
        <is>
          <t>In December 2025, the Company issued $2.6 billion in aggregate principal amount of convertible senior notes due on December 1, 2031 (the "2031 Convertible Senior Notes") in a private placement offering to qualified institutional buyers pursuant to Rule 144A under the Securities Act.</t>
        </is>
      </c>
    </row>
    <row r="33" ht="64.5" customHeight="1" s="186">
      <c r="A33" s="6" t="n">
        <v>27</v>
      </c>
      <c r="B33" s="188" t="inlineStr">
        <is>
          <t>Senior Notes</t>
        </is>
      </c>
      <c r="C33" s="22" t="inlineStr">
        <is>
          <t>The 2031 Convertible Senior Notes are convertible at an initial conversion rate of 9.2764 shares per $1,000 principal amount (equivalent to a conversion price of approximately $107.80 per share) into cash, shares of the Company's Class A common stock, or a combination thereof. Until September 1, 2031, the 2031 Convertible Senior Notes can only be converted upon satisfaction of certain market conditions or upon the occurrence of specific corporate events. After that date, the notes are freely convertible. The conversion rate is subject to standard anti-dilution adjustments throughout the life of the instrument.</t>
        </is>
      </c>
    </row>
    <row r="34" ht="78" customHeight="1" s="186">
      <c r="A34" s="6" t="n">
        <v>28</v>
      </c>
      <c r="B34" s="188" t="inlineStr">
        <is>
          <t>Senior Notes</t>
        </is>
      </c>
      <c r="C34" s="22" t="inlineStr">
        <is>
          <t>Additionally, if the holders of the 2031 Convertible Senior Notes convert their notes in connection with a make-whole fundamental change or in connection with the exercise of the Company's option to redeem the 2031 Convertible Senior Notes, the conversion rate may be adjusted to compensate for the lost time value of money. The Company may not redeem the 2031 Convertible Senior Notes prior to December 5, 2028. On or after that date, the Company may redeem all or any portion of the outstanding 2031 Convertible Senior Notes for cash if the Company's Class A common stock price exceeds 130% of the conversion price for any 20 trading days within a 30 consecutive trading day period.</t>
        </is>
      </c>
    </row>
    <row r="35" ht="39" customHeight="1" s="186">
      <c r="A35" s="6" t="n">
        <v>29</v>
      </c>
      <c r="B35" s="188" t="inlineStr">
        <is>
          <t>Senior Notes</t>
        </is>
      </c>
      <c r="C35" s="22" t="inlineStr">
        <is>
          <t>The 2031 Convertible Senior Notes are accounted as a single liability measured at its amortized cost, as the conversion features do not require bifurcation and recognition as derivatives. In conjunction with the issuance of the 2031 Convertible Senior Notes, the Company capitalized $57 million in debt discount and issuance costs.</t>
        </is>
      </c>
    </row>
    <row r="36" ht="51.75" customHeight="1" s="186">
      <c r="A36" s="6" t="n">
        <v>30</v>
      </c>
      <c r="B36" s="188" t="inlineStr">
        <is>
          <t>Senior Notes</t>
        </is>
      </c>
      <c r="C36" s="22" t="inlineStr">
        <is>
          <t>A portion of the proceeds from the 2031 Convertible Senior Notes was used to fund the cost of entering into capped call transactions, described below. The Company expects to use the remainder of the proceeds for general corporate purposes. The 2031 Convertible Senior Notes are unsecured obligations and bear interest payable semi-annually in arrears and include customary terms and covenants, including certain events of default, after which the notes may be due and payable immediately at a price set forth in the indenture.</t>
        </is>
      </c>
    </row>
    <row r="37" ht="25.5" customHeight="1" s="186">
      <c r="A37" s="6" t="n">
        <v>31</v>
      </c>
      <c r="B37" s="188" t="inlineStr">
        <is>
          <t>Senior Notes</t>
        </is>
      </c>
      <c r="C37" s="22" t="inlineStr">
        <is>
          <t>As of December 31, 2025, the estimated fair value of the 2031 Convertible Senior Notes was $2.5 billion, which was based on observable market prices of identical instruments in less active markets and is categorized as Level 2 in the fair value hierarchy.</t>
        </is>
      </c>
    </row>
    <row r="38" ht="13.5" customHeight="1" s="186">
      <c r="A38" s="6" t="n">
        <v>32</v>
      </c>
      <c r="B38" s="188" t="inlineStr">
        <is>
          <t>Capped Call Transactions</t>
        </is>
      </c>
      <c r="C38" s="23" t="inlineStr">
        <is>
          <t>Capped Call Transactions</t>
        </is>
      </c>
    </row>
    <row r="39" ht="64.5" customHeight="1" s="186">
      <c r="A39" s="6" t="n">
        <v>33</v>
      </c>
      <c r="B39" s="188" t="inlineStr">
        <is>
          <t>Capped Call Transactions</t>
        </is>
      </c>
      <c r="C39" s="22" t="inlineStr">
        <is>
          <t>In conjunction with the issuance of the 2031 Convertible Senior Notes, the Company entered into separately negotiated capped call transactions (the "Capped Calls") with certain financial institutions at a total cost of $340 million. The Capped Calls are expected generally to reduce potential dilution of the Company's Class A common stock upon any conversion of the 2031 Convertible Senior Notes and offset any potential cash payments the Company is required to make in excess of the principal amount of such converted 2031 Convertible Senior Notes, as the case may be, with such reduction and offset subject to a cap.</t>
        </is>
      </c>
    </row>
    <row r="40" ht="64.5" customHeight="1" s="186">
      <c r="A40" s="6" t="n">
        <v>34</v>
      </c>
      <c r="B40" s="188" t="inlineStr">
        <is>
          <t>Capped Call Transactions</t>
        </is>
      </c>
      <c r="C40" s="22" t="inlineStr">
        <is>
          <t>The Capped Calls have an initial strike price of $107.80 per share, which corresponds to the initial conversion price of the 2031 Convertible Senior Notes, and have an initial cap price of $215.60 per share, both subject to certain adjustments. The Capped Calls qualify for a derivative scope exception for instruments that are both indexed to an entity's own stock; therefore they are recorded in stockholders' equity (deficit) as a reduction of additional paid-in capital on the consolidated balance sheets and will not be subsequently remeasured.</t>
        </is>
      </c>
    </row>
    <row r="41" ht="13.5" customHeight="1" s="186">
      <c r="A41" s="6" t="n">
        <v>35</v>
      </c>
      <c r="B41" s="188" t="inlineStr">
        <is>
          <t>Capped Call Transactions</t>
        </is>
      </c>
      <c r="C41" s="22" t="inlineStr">
        <is>
          <t>2024 Term Loan Facility</t>
        </is>
      </c>
    </row>
    <row r="42" ht="39" customHeight="1" s="186">
      <c r="A42" s="6" t="n">
        <v>36</v>
      </c>
      <c r="B42" s="188" t="inlineStr">
        <is>
          <t>Capped Call Transactions</t>
        </is>
      </c>
      <c r="C42" s="22" t="inlineStr">
        <is>
          <t>In December 2024, the Company entered into a credit agreement providing for a $1.0 billion term loan facility (the "2024 Term Loan Facility") consisting of (i) a $229 million secured facility and (ii) a $771 million unsecured facility. In connection with the IPO, the maturity date of the 2024 Term Loan Facility was accelerated, and it was repaid on April 11, 2025.</t>
        </is>
      </c>
    </row>
    <row r="43" ht="13.5" customHeight="1" s="186">
      <c r="A43" s="6" t="n">
        <v>37</v>
      </c>
      <c r="B43" s="188" t="inlineStr">
        <is>
          <t>Revolving Credit Facility</t>
        </is>
      </c>
      <c r="C43" s="23" t="inlineStr">
        <is>
          <t>Revolving Credit Facility</t>
        </is>
      </c>
    </row>
    <row r="44" ht="78" customHeight="1" s="186">
      <c r="A44" s="6" t="n">
        <v>38</v>
      </c>
      <c r="B44" s="188" t="inlineStr">
        <is>
          <t>Revolving Credit Facility</t>
        </is>
      </c>
      <c r="C44" s="22" t="inlineStr">
        <is>
          <t>In June 2024, and as amended in October and December 2024, the Company entered into a senior secured revolving credit facility (as amended, the "Revolving Credit Facility") with a capacity of $650 million. The Revolving Credit Facility matures on June 21, 2027. The Revolving Credit Facility includes a $175 million letter of credit sub-facility. The letter of credit sub-facility entered into by the Company reduces the available borrowing capacity under the Revolving Credit Facility. In May 2025, the Company upsized the Revolving Credit Facility with a capacity of $1.5 billion and extended the maturity to May 2028. With the upsize of the Revolving Credit Facility, the letter of credit sub-facility increased to $350 million.</t>
        </is>
      </c>
    </row>
    <row r="45" ht="103.5" customHeight="1" s="186">
      <c r="A45" s="6" t="n">
        <v>39</v>
      </c>
      <c r="B45" s="188" t="inlineStr">
        <is>
          <t>Revolving Credit Facility</t>
        </is>
      </c>
      <c r="C45" s="22" t="inlineStr">
        <is>
          <t>In November 2025, the Company amended its Revolving Credit Facility to increase the capacity to $2.5 billion and to modify certain covenant metrics. The amendment also extended the maturity to November 2029. With the upsize of the Revolving Credit Facility, the letter of credit sub-facility increased to $600 million. In December 2025, the Company transferred standby letters of credit issued in support of certain lease obligations from separate lease agreements to the letter of credit sub-facility under the Revolving Credit Facility. These letters of credit remain outstanding, continue to secure the related lease obligations, and reduce availability under the Revolving Credit Facility, with no change to the underlying lease terms or obligations. As of December 31, 2025, the outstanding balances associated with letters of credit were $294 million. There were no outstanding balances associated with the letters of credit as of December 31, 2024.</t>
        </is>
      </c>
    </row>
    <row r="46" ht="51.75" customHeight="1" s="186">
      <c r="A46" s="6" t="n">
        <v>40</v>
      </c>
      <c r="B46" s="188" t="inlineStr">
        <is>
          <t>Revolving Credit Facility</t>
        </is>
      </c>
      <c r="C46" s="22" t="inlineStr">
        <is>
          <t>As of December 31, 2025, the Company had drawn $1.0 billion and had $1.2 billion of remaining capacity under the Revolving Credit Facility. Obligations outstanding under the Revolving Credit Facility are secured by pledges of certain assets as collateral. The Company is required to pay a fee of 0.25% per annum on the undrawn commitment. As of December 31, 2024, the Company had not drawn on the Revolving Credit Facility.</t>
        </is>
      </c>
    </row>
    <row r="47" ht="13.5" customHeight="1" s="186">
      <c r="A47" s="6" t="n">
        <v>41</v>
      </c>
      <c r="B47" s="188" t="inlineStr">
        <is>
          <t>OEM and Software License Financing Arrangements</t>
        </is>
      </c>
      <c r="C47" s="23" t="inlineStr">
        <is>
          <t>OEM and Software License Financing Arrangements</t>
        </is>
      </c>
    </row>
    <row r="48" ht="64.5" customHeight="1" s="186">
      <c r="A48" s="6" t="n">
        <v>42</v>
      </c>
      <c r="B48" s="188" t="inlineStr">
        <is>
          <t>OEM and Software License Financing Arrangements</t>
        </is>
      </c>
      <c r="C48" s="22" t="inlineStr">
        <is>
          <t>The Company entered into various agreements with original equipment manufacturers (the "OEM Financing Arrangements"), whereby the Company obtained financing for certain equipment with an aggregate notional balance of $4.8 billion and $1.3 billion as of December 31, 2025 and 2024, respectively. The Company granted a security interest for the financed equipment related to these financing arrangements. The arrangements generally have terms between one to three years. The Company had an outstanding balance of $3.8 billion and $1.2 billion as of December 31, 2025 and 2024, respectively.</t>
        </is>
      </c>
    </row>
    <row r="49" ht="64.5" customHeight="1" s="186">
      <c r="A49" s="6" t="n">
        <v>43</v>
      </c>
      <c r="B49" s="188" t="inlineStr">
        <is>
          <t>OEM and Software License Financing Arrangements</t>
        </is>
      </c>
      <c r="C49" s="22" t="inlineStr">
        <is>
          <t>During the year ended December 31, 2025, the Company also entered into various arrangements with a software license vendor (the "Software License Financing Arrangements"), whereby the Company obtained financing for certain software licenses with an aggregate notional balance of $431 million as of December 31, 2025, and may elect to finance up to an additional $884 million of optional tranches under the terms of one arrangement that commenced in October 2025. Given additional tranches are contingent on the Company's future election and may be avoided without penalty, they are</t>
        </is>
      </c>
    </row>
    <row r="50" ht="39" customHeight="1" s="186">
      <c r="A50" s="6" t="n">
        <v>44</v>
      </c>
      <c r="B50" s="188" t="inlineStr">
        <is>
          <t>OEM and Software License Financing Arrangements</t>
        </is>
      </c>
      <c r="C50" s="22" t="inlineStr">
        <is>
          <t>not recognized as a liability as of December 31, 2025. These Software License Financing Arrangements generally have terms of less than five years. As of December 31, 2025, the Company had an outstanding balance of $368 million, representing the present value of the related obligations, with the discount accreted to interest expense using the effective interest method.</t>
        </is>
      </c>
    </row>
    <row r="51" ht="13.5" customHeight="1" s="186">
      <c r="A51" s="6" t="n">
        <v>45</v>
      </c>
      <c r="B51" s="188" t="inlineStr">
        <is>
          <t>Magnetar Loan</t>
        </is>
      </c>
      <c r="C51" s="23" t="inlineStr">
        <is>
          <t>Magnetar Loan</t>
        </is>
      </c>
    </row>
    <row r="52" ht="142.5" customHeight="1" s="186">
      <c r="A52" s="6" t="n">
        <v>46</v>
      </c>
      <c r="B52" s="188" t="inlineStr">
        <is>
          <t>Magnetar Loan</t>
        </is>
      </c>
      <c r="C52" s="22" t="inlineStr">
        <is>
          <t>In August 2024, the Company entered into an AI Computing Service Reserved Capacity and Prepayment Agreement with MagAI Ventures (the "MagAI Capacity Agreement"). Under this arrangement, the Company agreed to provide portfolio companies of MagAI Ventures with a pre-determined amount of cloud computing services at a pre-negotiated hourly rate. The specific amount of cloud computing services, inclusive of the capacity and term, to be used by each portfolio company, if any, will be negotiated individually with each portfolio company, and will be subject to final approval by MagAI Ventures. The Company received a refundable deposit of $230 million in connection with the MagAI Capacity Agreement. Any consumption of cloud services by MagAI Ventures, including by their portfolio companies, under this arrangement is deducted from this deposit amount, with the unused portion refunded back to MagAI Ventures at the end of the contractual term. Throughout the term of the arrangement, if MagAI Ventures portfolio companies do not contract for the full amount of the pre-determined cloud computing services, the Company may agree with MagAI Ventures to instead use this available capacity for other customers, and share profits with MagAI Ventures for any revenue realized above the revenue that would have been generated by charging these customers the MagAI Ventures pre-negotiated rate.</t>
        </is>
      </c>
    </row>
    <row r="53" ht="51.75" customHeight="1" s="186">
      <c r="A53" s="6" t="n">
        <v>47</v>
      </c>
      <c r="B53" s="188" t="inlineStr">
        <is>
          <t>Magnetar Loan</t>
        </is>
      </c>
      <c r="C53" s="22" t="inlineStr">
        <is>
          <t>The initial MagAI Capacity Agreement provided for certain termination options for MagAI Ventures, including if a specified amount of capacity is not available by a target commencement date. The MagAI Capacity Agreement runs for an initial period of four years, with an option for MagAI Ventures to extend for two additional years. As of December 31, 2024, the refundable deposit was included within other current liabilities on the consolidated balance sheets, as no services had yet been provided under this arrangement.</t>
        </is>
      </c>
    </row>
    <row r="54" ht="51.75" customHeight="1" s="186">
      <c r="A54" s="6" t="n">
        <v>48</v>
      </c>
      <c r="B54" s="188" t="inlineStr">
        <is>
          <t>Magnetar Loan</t>
        </is>
      </c>
      <c r="C54" s="22" t="inlineStr">
        <is>
          <t>In February 2025, the MagAI Capacity Agreement was amended to provide certain termination for convenience rights to both MagAI Ventures and the Company. As a result of the amendment, the Company now considers the refundable deposit received from Magnetar to be in-substance debt (the "Magnetar Loan") under ASC 470, Sale of Future Revenue, and has reclassified the balance to debt, current on the consolidated balance sheets. No services had been provided under the MagAI Capacity Agreement as of December 31, 2025.</t>
        </is>
      </c>
    </row>
    <row r="55" ht="78" customHeight="1" s="186">
      <c r="A55" s="6" t="n">
        <v>49</v>
      </c>
      <c r="B55" s="188" t="inlineStr">
        <is>
          <t>Magnetar Loan</t>
        </is>
      </c>
      <c r="C55" s="22" t="inlineStr">
        <is>
          <t>As of December 31, 2025, the $230 million refundable deposit remains available for cloud computing services for MagAI Ventures' portfolio companies. Upon such termination by either party, the unused portion of the $230 million deposit will be refunded along with a specified multiplier that increases over the term of the arrangement that equates to a 12% annual rate of return. As of December 31, 2025, the Company had $273 million classified as debt, current, including $43 million of redemption premiums, on the consolidated balance sheets. The accretion of the redemption premiums was recognized in interest expense, net in the consolidated statements of operations and comprehensive loss during the year ended December 31, 2025.</t>
        </is>
      </c>
    </row>
    <row r="56" ht="13.5" customHeight="1" s="186">
      <c r="A56" s="6" t="n">
        <v>50</v>
      </c>
      <c r="B56" s="188" t="inlineStr">
        <is>
          <t>Convertible Promissory Notes</t>
        </is>
      </c>
      <c r="C56" s="23" t="inlineStr">
        <is>
          <t>Convertible Promissory Notes</t>
        </is>
      </c>
    </row>
    <row r="57" ht="78" customHeight="1" s="186">
      <c r="A57" s="6" t="n">
        <v>51</v>
      </c>
      <c r="B57" s="188" t="inlineStr">
        <is>
          <t>Convertible Promissory Notes</t>
        </is>
      </c>
      <c r="C57" s="22" t="inlineStr">
        <is>
          <t>In connection with an acquisition, the Company issued non-interest-bearing convertible promissory notes with an aggregate principal amount of $172 million to certain former shareholders of the acquiree. Unless earlier redeemed, the notes mature in April 2026. Subject to certain conditions, the Company may elect to settle the notes in cash, shares of the Company's Class A common stock, or a combination thereof. If settled in shares of Class A common stock, the number of shares to be delivered will be determined by dividing the outstanding principal balance by the volume-weighted average price of the Company's Class A common stock over a specified measurement period ending prior to the maturity date.</t>
        </is>
      </c>
    </row>
    <row r="58" ht="25.5" customHeight="1" s="186">
      <c r="A58" s="6" t="n">
        <v>52</v>
      </c>
      <c r="B58" s="188" t="inlineStr">
        <is>
          <t>Convertible Promissory Notes</t>
        </is>
      </c>
      <c r="C58" s="22" t="inlineStr">
        <is>
          <t>The issuance of shares upon settlement is subject to applicable stock exchange limitations, and any amounts in excess of such limitations will be settled in cash. The notes do not contain any embedded features that require bifurcation and accounting as derivatives.</t>
        </is>
      </c>
    </row>
    <row r="59" ht="51.75" customHeight="1" s="186">
      <c r="A59" s="6" t="n">
        <v>53</v>
      </c>
      <c r="B59" s="188" t="inlineStr">
        <is>
          <t>Convertible Promissory Notes</t>
        </is>
      </c>
      <c r="C59" s="22" t="inlineStr">
        <is>
          <t>As of December 31, 2025, the Company classified $168 million as debt, current on the consolidated balance sheets, representing the present value of the notes discounted using an imputed interest rate of 7%, and reflecting accretion of the discount in the year ended December 31, 2025. The accretion of the discount to the maturity amount is recognized as interest expense, net, in the consolidated statements of operations and comprehensive loss. Refer to Note 4—Business Combinations for additional information.</t>
        </is>
      </c>
    </row>
    <row r="60" ht="13.5" customHeight="1" s="186">
      <c r="A60" s="6" t="n">
        <v>54</v>
      </c>
      <c r="B60" s="188" t="inlineStr">
        <is>
          <t>Convertible Promissory Notes</t>
        </is>
      </c>
      <c r="C60" s="22" t="inlineStr">
        <is>
          <t>2021 Convertible Senior Secured Notes</t>
        </is>
      </c>
    </row>
    <row r="61" ht="103.5" customHeight="1" s="186">
      <c r="A61" s="6" t="n">
        <v>55</v>
      </c>
      <c r="B61" s="188" t="inlineStr">
        <is>
          <t>Convertible Promissory Notes</t>
        </is>
      </c>
      <c r="C61" s="22" t="inlineStr">
        <is>
          <t>In October 2021, the Company executed a note issuance agreement and a note purchase agreement with a related party for the issuance of an aggregate principal amount of up to $50 million of convertible senior secured notes (the "2021 Convertible Senior Secured Notes"). The Company determined that the conversion features, the accelerated redemption features, the variability in interest payments, and the Company's redemption option were required to be bifurcated and accounted for as an embedded derivative. The investors elected to convert all of the outstanding 2021 Convertible Senior Secured Notes on September 17, 2024, pursuant to the original terms of the conversion feature, resulting in the issuance of 25 million shares of common stock and a cash payment of $2 million for accrued interest and cash in lieu of fractional shares. The conversion was accounted for as an extinguishment. Equity increased by the settlement-date fair value of the common shares issued of $1.1 billion. Loss on extinguishment of the 2021 Convertible Senior Secured Notes was not material.</t>
        </is>
      </c>
    </row>
    <row r="62" ht="39" customHeight="1" s="186">
      <c r="A62" s="6" t="n">
        <v>56</v>
      </c>
      <c r="B62" s="188" t="inlineStr">
        <is>
          <t>Convertible Promissory Notes</t>
        </is>
      </c>
      <c r="C62" s="22" t="inlineStr">
        <is>
          <t>For the years ended December 31, 2024 and 2023, the Company recorded losses related to the fair value adjustment of these derivative liabilities of $627 million and $361 million, respectively. During the year ended December 31, 2024, total interest costs were not material and during the year ended December 31, 2023, total interest costs were $31 million.</t>
        </is>
      </c>
    </row>
    <row r="63" ht="13.5" customHeight="1" s="186">
      <c r="A63" s="6" t="n">
        <v>57</v>
      </c>
      <c r="B63" s="188" t="inlineStr">
        <is>
          <t>DCSP Financing Arrangements</t>
        </is>
      </c>
      <c r="C63" s="23" t="inlineStr">
        <is>
          <t>DCSP Financing Arrangements</t>
        </is>
      </c>
    </row>
    <row r="64" ht="51.75" customHeight="1" s="186">
      <c r="A64" s="6" t="n">
        <v>58</v>
      </c>
      <c r="B64" s="188" t="inlineStr">
        <is>
          <t>DCSP Financing Arrangements</t>
        </is>
      </c>
      <c r="C64" s="22" t="inlineStr">
        <is>
          <t>In June 2023, the Company entered into a service agreement (the "DCSP Service Agreement") with a data center service provider (the "DCSP"). Under the DCSP Service Agreement, the DCSP will design, purchase, build, and manage a data center providing access to up to 78 MW of electrical power to be delivered in phases. Separately, during the year ended December 31, 2024, the Company purchased $116 million of critical infrastructure assets to support the data center site (the "Existing Critical Infrastructure Assets").</t>
        </is>
      </c>
    </row>
    <row r="65" ht="51.75" customHeight="1" s="186">
      <c r="A65" s="6" t="n">
        <v>59</v>
      </c>
      <c r="B65" s="188" t="inlineStr">
        <is>
          <t>DCSP Financing Arrangements</t>
        </is>
      </c>
      <c r="C65" s="22" t="inlineStr">
        <is>
          <t>In October 2024, the Company, as a lender, entered into a Senior Secured Delayed Draw Term Loan Credit Agreement (the "DCSP Note Receivable", and collectively, with the DCSP Service Agreement, the "DCSP Financing Arrangements") with the DCSP to facilitate the purchase of critical infrastructure assets. The DCSP Note Receivable provides for a total commitment of up to $305 million in delayed draw term loan funding for a term of seven years with a stated interest rate of 13.00% per annum.</t>
        </is>
      </c>
    </row>
    <row r="66" ht="25.5" customHeight="1" s="186">
      <c r="A66" s="6" t="n">
        <v>60</v>
      </c>
      <c r="B66" s="188" t="inlineStr">
        <is>
          <t>DCSP Financing Arrangements</t>
        </is>
      </c>
      <c r="C66" s="22" t="inlineStr">
        <is>
          <t>The DCSP Note Receivable is secured by the new and existing critical infrastructure assets that support current and future phases of the build out at the data center and is prepayable at any time by the DCSP with no penalty.</t>
        </is>
      </c>
    </row>
    <row r="67" ht="78" customHeight="1" s="186">
      <c r="A67" s="6" t="n">
        <v>61</v>
      </c>
      <c r="B67" s="188" t="inlineStr">
        <is>
          <t>DCSP Financing Arrangements</t>
        </is>
      </c>
      <c r="C67" s="22" t="inlineStr">
        <is>
          <t>The DCSP has borrowed under the DCSP Note Receivable to settle amounts previously advanced to the DCSP by the Company, finance purchases of additional critical infrastructure assets, and purchase the Existing Critical Infrastructure Assets. Under the terms of the DCSP Service Agreement, the Company continues to control the Existing Critical Infrastructure Assets and the Company recorded a financing obligation related to the consideration received for the Existing Critical Infrastructure Assets. The financing obligation is payable over a term of 14 years and has an imputed interest rate of 15%. The Existing Critical Infrastructure Assets are included in property and equipment, net, on the consolidated balance sheets and are depreciated over their estimated useful life.</t>
        </is>
      </c>
    </row>
    <row r="68" ht="64.5" customHeight="1" s="186">
      <c r="A68" s="6" t="n">
        <v>62</v>
      </c>
      <c r="B68" s="188" t="inlineStr">
        <is>
          <t>DCSP Financing Arrangements</t>
        </is>
      </c>
      <c r="C68" s="22" t="inlineStr">
        <is>
          <t>Additionally, the Company entered into a lease for data center infrastructure assets with the DCSP. The arrangement commenced in April 2025 and is accounted for as a finance lease, with an initial term of 14 years and an imputed interest rate of 13%. The Company recorded finance lease right-of-use assets acquired through lease liability of $123 million for the year ended December 31, 2025 associated with this arrangement. For the year ended December 31, 2025, the amortization expense related to this finance lease right-of-use asset was not material.</t>
        </is>
      </c>
    </row>
    <row r="69" ht="25.5" customHeight="1" s="186">
      <c r="A69" s="6" t="n">
        <v>63</v>
      </c>
      <c r="B69" s="188" t="inlineStr">
        <is>
          <t>DCSP Financing Arrangements</t>
        </is>
      </c>
      <c r="C69" s="22" t="inlineStr">
        <is>
          <t>As of December 31, 2025, the future contractual principal payments under the financing obligation and finance lease due to the DCSP were as follows (in millions):</t>
        </is>
      </c>
    </row>
    <row r="70" ht="13.5" customHeight="1" s="186">
      <c r="A70" s="6" t="n">
        <v>64</v>
      </c>
      <c r="B70" s="188" t="inlineStr">
        <is>
          <t>DCSP Financing Arrangements</t>
        </is>
      </c>
      <c r="C70" s="188" t="inlineStr">
        <is>
          <t>[TABLE]</t>
        </is>
      </c>
    </row>
    <row r="71" ht="117" customHeight="1" s="186">
      <c r="A71" s="6" t="n">
        <v>65</v>
      </c>
      <c r="B71" s="188" t="inlineStr">
        <is>
          <t>DCSP Financing Arrangements</t>
        </is>
      </c>
      <c r="C71" s="22" t="inlineStr">
        <is>
          <t>The DCSP Financing Arrangements allow for the net settlement of amounts due between the parties and meet the criteria for right of setoff in accordance with ASC 210, Balance Sheet. As of December 31, 2025, the gross amount of the DCSP Note Receivable was $304 million, which is presented net of the financing obligation and finance lease of $234 million. As of December 31, 2024, the gross amount of the DCSP Note Receivable was $224 million, which is presented net of the financing obligation of $116 million. The Company did not recognize any interest income during the year ended December 31, 2024, as the Company did not expect to be entitled to the accrued interest. The Company began recognizing interest income associated with this arrangement in March 2025. For the year ended December 31, 2025, the Company recognized $28 million of interest income in other income, net in the consolidated statements of operations and comprehensive loss. The total interest expense related to the financing obligation and finance lease associated with this arrangement for the year ended December 31, 2025 was $28 million and was not material for the years ended December 31, 2024 and 2023.</t>
        </is>
      </c>
    </row>
  </sheetData>
  <mergeCells count="1">
    <mergeCell ref="A4:C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E63"/>
  <sheetViews>
    <sheetView showGridLines="0" zoomScaleNormal="100" workbookViewId="0">
      <selection activeCell="D18" sqref="D18"/>
    </sheetView>
  </sheetViews>
  <sheetFormatPr baseColWidth="10" defaultColWidth="8.6640625" defaultRowHeight="15"/>
  <cols>
    <col width="66" customWidth="1" style="186" min="1" max="1"/>
    <col width="12" customWidth="1" style="186" min="2" max="5"/>
  </cols>
  <sheetData>
    <row r="1" ht="16.5" customHeight="1" s="186">
      <c r="A1" s="5" t="inlineStr">
        <is>
          <t>Q2 2026 Earnings Release - Non-GAAP Reconciliations</t>
        </is>
      </c>
    </row>
    <row r="2">
      <c r="A2" s="6" t="inlineStr">
        <is>
          <t>Source: 8-K filed 2026-08-11 (Item 2.02), Exhibit 99.1</t>
        </is>
      </c>
    </row>
    <row r="3">
      <c r="A3" s="6" t="inlineStr">
        <is>
          <t>https://www.sec.gov/Archives/edgar/data/1769628/000176962826000362/coreweave2q26earningspress.htm</t>
        </is>
      </c>
    </row>
    <row r="4" ht="63.75" customHeight="1" s="186">
      <c r="A4" s="188" t="inlineStr">
        <is>
          <t>Company's own words (excerpt): To supplement our consolidated financial statements, which are prepared and presented in accordance with generally accepted accounting principles in the United States (“GAAP”), we use adjusted EBITDA and adjusted EBITDA margin, adjusted operating income (loss) and adjusted operating income (loss) margin, adjusted net income (loss) and adjusted net income (loss) margin, collectively, to help us evaluate our business. ... These non-GAAP financial measures are presented for supplemental informational purposes only, should not be considered a substitute for financial information presented in accordance with GAAP, and may be different from similarly titled non-GAAP measures used by other companies.</t>
        </is>
      </c>
    </row>
    <row r="6">
      <c r="A6" s="10" t="inlineStr">
        <is>
          <t>Reconciliation of Net Loss to Adjusted EBITDA (in millions, except percentages)</t>
        </is>
      </c>
    </row>
    <row r="7">
      <c r="A7" s="17" t="n"/>
      <c r="B7" s="187" t="inlineStr">
        <is>
          <t>Three Months Ended June 30,</t>
        </is>
      </c>
      <c r="D7" s="187" t="inlineStr">
        <is>
          <t>Six Months Ended June 30,</t>
        </is>
      </c>
    </row>
    <row r="8">
      <c r="A8" s="17" t="n"/>
      <c r="B8" s="187" t="inlineStr">
        <is>
          <t>2026</t>
        </is>
      </c>
      <c r="C8" s="187" t="inlineStr">
        <is>
          <t>2025</t>
        </is>
      </c>
      <c r="D8" s="187" t="inlineStr">
        <is>
          <t>2026</t>
        </is>
      </c>
      <c r="E8" s="187" t="inlineStr">
        <is>
          <t>2025</t>
        </is>
      </c>
    </row>
    <row r="9">
      <c r="A9" s="11" t="inlineStr">
        <is>
          <t>Net loss</t>
        </is>
      </c>
      <c r="B9" s="12" t="n">
        <v>-626</v>
      </c>
      <c r="C9" s="12" t="n">
        <v>-290</v>
      </c>
      <c r="D9" s="12" t="n">
        <v>-1366</v>
      </c>
      <c r="E9" s="12" t="n">
        <v>-605</v>
      </c>
    </row>
    <row r="10">
      <c r="A10" s="11" t="inlineStr">
        <is>
          <t>Depreciation and amortization</t>
        </is>
      </c>
      <c r="B10" s="12" t="n">
        <v>1393</v>
      </c>
      <c r="C10" s="12" t="n">
        <v>559</v>
      </c>
      <c r="D10" s="12" t="n">
        <v>2540</v>
      </c>
      <c r="E10" s="12" t="n">
        <v>1003</v>
      </c>
    </row>
    <row r="11">
      <c r="A11" s="11" t="inlineStr">
        <is>
          <t>Interest expense, net</t>
        </is>
      </c>
      <c r="B11" s="12" t="n">
        <v>640</v>
      </c>
      <c r="C11" s="12" t="n">
        <v>267</v>
      </c>
      <c r="D11" s="12" t="n">
        <v>1176</v>
      </c>
      <c r="E11" s="12" t="n">
        <v>531</v>
      </c>
    </row>
    <row r="12">
      <c r="A12" s="11" t="inlineStr">
        <is>
          <t>Stock-based compensation</t>
        </is>
      </c>
      <c r="B12" s="12" t="n">
        <v>165</v>
      </c>
      <c r="C12" s="12" t="n">
        <v>145</v>
      </c>
      <c r="D12" s="12" t="n">
        <v>318</v>
      </c>
      <c r="E12" s="12" t="n">
        <v>329</v>
      </c>
    </row>
    <row r="13">
      <c r="A13" s="11" t="inlineStr">
        <is>
          <t>Provision for income taxes</t>
        </is>
      </c>
      <c r="B13" s="12" t="n">
        <v>62</v>
      </c>
      <c r="C13" s="12" t="n">
        <v>48</v>
      </c>
      <c r="D13" s="12" t="n">
        <v>146</v>
      </c>
      <c r="E13" s="12" t="n">
        <v>94</v>
      </c>
    </row>
    <row r="14">
      <c r="A14" s="11" t="inlineStr">
        <is>
          <t>Acquisition related costs(1)</t>
        </is>
      </c>
      <c r="B14" s="12" t="n">
        <v>1</v>
      </c>
      <c r="C14" s="12" t="n">
        <v>30</v>
      </c>
      <c r="D14" s="12" t="n">
        <v>2</v>
      </c>
      <c r="E14" s="12" t="n">
        <v>36</v>
      </c>
    </row>
    <row r="15">
      <c r="A15" s="11" t="inlineStr">
        <is>
          <t>Other (income) expense, net</t>
        </is>
      </c>
      <c r="B15" s="12" t="n">
        <v>-125</v>
      </c>
      <c r="C15" s="12" t="n">
        <v>-6</v>
      </c>
      <c r="D15" s="12" t="n">
        <v>-149</v>
      </c>
      <c r="E15" s="12" t="n">
        <v>-1</v>
      </c>
    </row>
    <row r="16">
      <c r="A16" s="11" t="inlineStr">
        <is>
          <t>(Gain) loss on fair value adjustments(2)</t>
        </is>
      </c>
      <c r="B16" s="12" t="n">
        <v>0</v>
      </c>
      <c r="C16" s="12" t="n">
        <v>0</v>
      </c>
      <c r="D16" s="12" t="n">
        <v>0</v>
      </c>
      <c r="E16" s="12" t="n">
        <v>-27</v>
      </c>
    </row>
    <row r="17">
      <c r="A17" s="11" t="inlineStr">
        <is>
          <t>Adjusted EBITDA</t>
        </is>
      </c>
      <c r="B17" s="12" t="n">
        <v>1510</v>
      </c>
      <c r="C17" s="12" t="n">
        <v>753</v>
      </c>
      <c r="D17" s="12" t="n">
        <v>2667</v>
      </c>
      <c r="E17" s="12" t="n">
        <v>1360</v>
      </c>
    </row>
    <row r="18">
      <c r="A18" s="11" t="inlineStr">
        <is>
          <t>Revenue</t>
        </is>
      </c>
      <c r="B18" s="12" t="n">
        <v>2575</v>
      </c>
      <c r="C18" s="12" t="n">
        <v>1212</v>
      </c>
      <c r="D18" s="12" t="n">
        <v>4653</v>
      </c>
      <c r="E18" s="12" t="n">
        <v>2194</v>
      </c>
    </row>
    <row r="19">
      <c r="A19" s="11" t="inlineStr">
        <is>
          <t>Net loss margin</t>
        </is>
      </c>
      <c r="B19" s="12" t="n">
        <v>-24</v>
      </c>
      <c r="C19" s="12" t="n">
        <v>-24</v>
      </c>
      <c r="D19" s="12" t="n">
        <v>-29</v>
      </c>
      <c r="E19" s="12" t="n">
        <v>-28</v>
      </c>
    </row>
    <row r="20">
      <c r="A20" s="11" t="inlineStr">
        <is>
          <t>Adjusted EBITDA margin</t>
        </is>
      </c>
      <c r="B20" s="12" t="n">
        <v>59</v>
      </c>
      <c r="C20" s="12" t="n">
        <v>62</v>
      </c>
      <c r="D20" s="12" t="n">
        <v>57</v>
      </c>
      <c r="E20" s="12" t="n">
        <v>62</v>
      </c>
    </row>
    <row r="21" ht="45" customHeight="1" s="186">
      <c r="A21" s="188" t="inlineStr">
        <is>
          <t>(1) Acquisition related costs include direct transaction costs, such as due diligence, advisory, and professional services fees, and certain compensation and integration related expenses. We exclude acquisition related costs, as we believe these transaction-specific expenses are inconsistent in amount and frequency, and do not correlate to the operation of our business.</t>
        </is>
      </c>
    </row>
    <row r="22" ht="75" customHeight="1" s="186">
      <c r="A22" s="188" t="inlineStr">
        <is>
          <t>(2) Represents adjustments related to recording our derivative liabilities at fair value at the end of each reporting period for our 2021 Convertible Senior Secured Notes, warrant liabilities related to our 2022 Senior Secured Notes, and the fair value remeasurement of the option liability in connection with our Series B redeemable convertible preferred stock. Refer to Note 3. Investments and Fair Value Measurements to our consolidated financial statements included in our Quarterly Report on Form 10-Q filed or to be filed with the SEC for the quarter ended June 30, 2026 for additional information.</t>
        </is>
      </c>
    </row>
    <row r="24">
      <c r="A24" s="10" t="inlineStr">
        <is>
          <t>Reconciliation of Operating Loss to Adjusted Operating Income (in millions, except percentages)</t>
        </is>
      </c>
    </row>
    <row r="25">
      <c r="A25" s="17" t="n"/>
      <c r="B25" s="187" t="inlineStr">
        <is>
          <t>Three Months Ended June 30,</t>
        </is>
      </c>
      <c r="D25" s="187" t="inlineStr">
        <is>
          <t>Six Months Ended June 30,</t>
        </is>
      </c>
    </row>
    <row r="26">
      <c r="A26" s="17" t="n"/>
      <c r="B26" s="187" t="inlineStr">
        <is>
          <t>2026</t>
        </is>
      </c>
      <c r="C26" s="187" t="inlineStr">
        <is>
          <t>2025</t>
        </is>
      </c>
      <c r="D26" s="187" t="inlineStr">
        <is>
          <t>2026</t>
        </is>
      </c>
      <c r="E26" s="187" t="inlineStr">
        <is>
          <t>2025</t>
        </is>
      </c>
    </row>
    <row r="27">
      <c r="A27" s="11" t="inlineStr">
        <is>
          <t>Operating income (loss)</t>
        </is>
      </c>
      <c r="B27" s="12" t="n">
        <v>-49</v>
      </c>
      <c r="C27" s="12" t="n">
        <v>19</v>
      </c>
      <c r="D27" s="12" t="n">
        <v>-193</v>
      </c>
      <c r="E27" s="12" t="n">
        <v>-8</v>
      </c>
    </row>
    <row r="28">
      <c r="A28" s="11" t="inlineStr">
        <is>
          <t>Stock-based compensation</t>
        </is>
      </c>
      <c r="B28" s="12" t="n">
        <v>165</v>
      </c>
      <c r="C28" s="12" t="n">
        <v>145</v>
      </c>
      <c r="D28" s="12" t="n">
        <v>318</v>
      </c>
      <c r="E28" s="12" t="n">
        <v>329</v>
      </c>
    </row>
    <row r="29">
      <c r="A29" s="11" t="inlineStr">
        <is>
          <t>Acquisition related costs(1)</t>
        </is>
      </c>
      <c r="B29" s="12" t="n">
        <v>1</v>
      </c>
      <c r="C29" s="12" t="n">
        <v>30</v>
      </c>
      <c r="D29" s="12" t="n">
        <v>2</v>
      </c>
      <c r="E29" s="12" t="n">
        <v>36</v>
      </c>
    </row>
    <row r="30">
      <c r="A30" s="11" t="inlineStr">
        <is>
          <t>Amortization of acquired intangibles(2)</t>
        </is>
      </c>
      <c r="B30" s="12" t="n">
        <v>11</v>
      </c>
      <c r="C30" s="12" t="n">
        <v>6</v>
      </c>
      <c r="D30" s="12" t="n">
        <v>22</v>
      </c>
      <c r="E30" s="12" t="n">
        <v>6</v>
      </c>
    </row>
    <row r="31">
      <c r="A31" s="11" t="inlineStr">
        <is>
          <t>Adjusted operating income</t>
        </is>
      </c>
      <c r="B31" s="12" t="n">
        <v>128</v>
      </c>
      <c r="C31" s="12" t="n">
        <v>200</v>
      </c>
      <c r="D31" s="12" t="n">
        <v>149</v>
      </c>
      <c r="E31" s="12" t="n">
        <v>363</v>
      </c>
    </row>
    <row r="32">
      <c r="A32" s="11" t="inlineStr">
        <is>
          <t>Revenue</t>
        </is>
      </c>
      <c r="B32" s="12" t="n">
        <v>2575</v>
      </c>
      <c r="C32" s="12" t="n">
        <v>1212</v>
      </c>
      <c r="D32" s="12" t="n">
        <v>4653</v>
      </c>
      <c r="E32" s="12" t="n">
        <v>2194</v>
      </c>
    </row>
    <row r="33">
      <c r="A33" s="11" t="inlineStr">
        <is>
          <t>Operating income (loss) margin</t>
        </is>
      </c>
      <c r="B33" s="12" t="n">
        <v>-2</v>
      </c>
      <c r="C33" s="12" t="n">
        <v>2</v>
      </c>
      <c r="D33" s="12" t="n">
        <v>-4</v>
      </c>
      <c r="E33" s="12" t="n">
        <v>0</v>
      </c>
    </row>
    <row r="34">
      <c r="A34" s="11" t="inlineStr">
        <is>
          <t>Adjusted operating income margin</t>
        </is>
      </c>
      <c r="B34" s="12" t="n">
        <v>5</v>
      </c>
      <c r="C34" s="12" t="n">
        <v>16</v>
      </c>
      <c r="D34" s="12" t="n">
        <v>3</v>
      </c>
      <c r="E34" s="12" t="n">
        <v>17</v>
      </c>
    </row>
    <row r="35" ht="45" customHeight="1" s="186">
      <c r="A35" s="188" t="inlineStr">
        <is>
          <t>(1) Acquisition related costs include direct transaction costs, such as due diligence, advisory, and professional services fees, and certain compensation and integration related expenses. We exclude acquisition related costs, as we believe these transaction-specific expenses are inconsistent in amount and frequency, and do not correlate to the operation of our business.</t>
        </is>
      </c>
    </row>
    <row r="36" ht="30" customHeight="1" s="186">
      <c r="A36" s="188" t="inlineStr">
        <is>
          <t>(2) In the second quarter of 2025, we began including an adjustment for the amortization of acquired intangibles in our calculation of adjusted operating income. Prior period non-GAAP calculations for acquired intangible amortization are not being adjusted as these amounts were insignificant.</t>
        </is>
      </c>
    </row>
    <row r="38">
      <c r="A38" s="10" t="inlineStr">
        <is>
          <t>Reconciliation of Net Loss to Adjusted Net Loss (in millions, except percentages)</t>
        </is>
      </c>
    </row>
    <row r="39">
      <c r="A39" s="17" t="n"/>
      <c r="B39" s="187" t="inlineStr">
        <is>
          <t>Three Months Ended June 30,</t>
        </is>
      </c>
      <c r="D39" s="187" t="inlineStr">
        <is>
          <t>Six Months Ended June 30,</t>
        </is>
      </c>
    </row>
    <row r="40">
      <c r="A40" s="17" t="n"/>
      <c r="B40" s="187" t="inlineStr">
        <is>
          <t>2026</t>
        </is>
      </c>
      <c r="C40" s="187" t="inlineStr">
        <is>
          <t>2025</t>
        </is>
      </c>
      <c r="D40" s="187" t="inlineStr">
        <is>
          <t>2026</t>
        </is>
      </c>
      <c r="E40" s="187" t="inlineStr">
        <is>
          <t>2025</t>
        </is>
      </c>
    </row>
    <row r="41">
      <c r="A41" s="11" t="inlineStr">
        <is>
          <t>Net loss</t>
        </is>
      </c>
      <c r="B41" s="12" t="n">
        <v>-626</v>
      </c>
      <c r="C41" s="12" t="n">
        <v>-290</v>
      </c>
      <c r="D41" s="12" t="n">
        <v>-1366</v>
      </c>
      <c r="E41" s="12" t="n">
        <v>-605</v>
      </c>
    </row>
    <row r="42">
      <c r="A42" s="11" t="inlineStr">
        <is>
          <t>Stock-based compensation</t>
        </is>
      </c>
      <c r="B42" s="12" t="n">
        <v>165</v>
      </c>
      <c r="C42" s="12" t="n">
        <v>145</v>
      </c>
      <c r="D42" s="12" t="n">
        <v>318</v>
      </c>
      <c r="E42" s="12" t="n">
        <v>329</v>
      </c>
    </row>
    <row r="43">
      <c r="A43" s="11" t="inlineStr">
        <is>
          <t>Loss on extinguishment of debt(1)</t>
        </is>
      </c>
      <c r="B43" s="12" t="n">
        <v>0</v>
      </c>
      <c r="C43" s="12" t="n">
        <v>9</v>
      </c>
      <c r="D43" s="12" t="n">
        <v>0</v>
      </c>
      <c r="E43" s="12" t="n">
        <v>10</v>
      </c>
    </row>
    <row r="44">
      <c r="A44" s="11" t="inlineStr">
        <is>
          <t>Acquisition related costs(2)</t>
        </is>
      </c>
      <c r="B44" s="12" t="n">
        <v>1</v>
      </c>
      <c r="C44" s="12" t="n">
        <v>30</v>
      </c>
      <c r="D44" s="12" t="n">
        <v>2</v>
      </c>
      <c r="E44" s="12" t="n">
        <v>36</v>
      </c>
    </row>
    <row r="45">
      <c r="A45" s="11" t="inlineStr">
        <is>
          <t>Amortization of acquired intangibles(3)</t>
        </is>
      </c>
      <c r="B45" s="12" t="n">
        <v>11</v>
      </c>
      <c r="C45" s="12" t="n">
        <v>6</v>
      </c>
      <c r="D45" s="12" t="n">
        <v>22</v>
      </c>
      <c r="E45" s="12" t="n">
        <v>6</v>
      </c>
    </row>
    <row r="46">
      <c r="A46" s="11" t="inlineStr">
        <is>
          <t>(Gain) loss on fair value adjustments(4)</t>
        </is>
      </c>
      <c r="B46" s="12" t="n">
        <v>0</v>
      </c>
      <c r="C46" s="12" t="n">
        <v>0</v>
      </c>
      <c r="D46" s="12" t="n">
        <v>0</v>
      </c>
      <c r="E46" s="12" t="n">
        <v>-27</v>
      </c>
    </row>
    <row r="47">
      <c r="A47" s="11" t="inlineStr">
        <is>
          <t>Other adjustments(5)</t>
        </is>
      </c>
      <c r="B47" s="12" t="n">
        <v>-109</v>
      </c>
      <c r="C47" s="12" t="n">
        <v>-11</v>
      </c>
      <c r="D47" s="12" t="n">
        <v>-109</v>
      </c>
      <c r="E47" s="12" t="n">
        <v>-11</v>
      </c>
    </row>
    <row r="48">
      <c r="A48" s="11" t="inlineStr">
        <is>
          <t>Income tax, inclusive of the tax effect of the above adjustments(6)</t>
        </is>
      </c>
      <c r="B48" s="12" t="n">
        <v>-9</v>
      </c>
      <c r="C48" s="12" t="n">
        <v>-19</v>
      </c>
      <c r="D48" s="12" t="n">
        <v>-23</v>
      </c>
      <c r="E48" s="12" t="n">
        <v>-19</v>
      </c>
    </row>
    <row r="49">
      <c r="A49" s="11" t="inlineStr">
        <is>
          <t>Adjusted net loss</t>
        </is>
      </c>
      <c r="B49" s="12" t="n">
        <v>-567</v>
      </c>
      <c r="C49" s="12" t="n">
        <v>-130</v>
      </c>
      <c r="D49" s="12" t="n">
        <v>-1156</v>
      </c>
      <c r="E49" s="12" t="n">
        <v>-281</v>
      </c>
    </row>
    <row r="50">
      <c r="A50" s="11" t="inlineStr">
        <is>
          <t>Revenue</t>
        </is>
      </c>
      <c r="B50" s="12" t="n">
        <v>2575</v>
      </c>
      <c r="C50" s="12" t="n">
        <v>1212</v>
      </c>
      <c r="D50" s="12" t="n">
        <v>4653</v>
      </c>
      <c r="E50" s="12" t="n">
        <v>2194</v>
      </c>
    </row>
    <row r="51">
      <c r="A51" s="11" t="inlineStr">
        <is>
          <t>Net loss margin</t>
        </is>
      </c>
      <c r="B51" s="12" t="n">
        <v>-24</v>
      </c>
      <c r="C51" s="12" t="n">
        <v>-24</v>
      </c>
      <c r="D51" s="12" t="n">
        <v>-29</v>
      </c>
      <c r="E51" s="12" t="n">
        <v>-28</v>
      </c>
    </row>
    <row r="52">
      <c r="A52" s="11" t="inlineStr">
        <is>
          <t>Adjusted net loss margin</t>
        </is>
      </c>
      <c r="B52" s="12" t="n">
        <v>-22</v>
      </c>
      <c r="C52" s="12" t="n">
        <v>-11</v>
      </c>
      <c r="D52" s="12" t="n">
        <v>-25</v>
      </c>
      <c r="E52" s="12" t="n">
        <v>-13</v>
      </c>
    </row>
    <row r="53" ht="30" customHeight="1" s="186">
      <c r="A53" s="188" t="inlineStr">
        <is>
          <t>(1) Primarily relates to losses recognized upon the early extinguishment of certain OEM financing arrangements, as well as accelerated amortization of debt discount and debt issuance costs related to our 2024 Term Loan, which was repaid in connection with the IPO.</t>
        </is>
      </c>
    </row>
    <row r="54" ht="15" customHeight="1" s="186">
      <c r="A54" s="188" t="inlineStr">
        <is>
          <t>(2) Acquisition related costs - same text as above.</t>
        </is>
      </c>
    </row>
    <row r="55" ht="30" customHeight="1" s="186">
      <c r="A55" s="188" t="inlineStr">
        <is>
          <t>(3) In the second quarter of 2025, we began including an adjustment for the amortization of acquired intangibles in our calculation of adjusted net loss. Prior period non-GAAP calculations for acquired intangible amortization are not being adjusted as these amounts were insignificant.</t>
        </is>
      </c>
    </row>
    <row r="56" ht="15" customHeight="1" s="186">
      <c r="A56" s="188" t="inlineStr">
        <is>
          <t>(4) Fair value adjustments - same text as footnote (2) of the Adjusted EBITDA table.</t>
        </is>
      </c>
    </row>
    <row r="57" ht="15" customHeight="1" s="186">
      <c r="A57" s="188" t="inlineStr">
        <is>
          <t>(5) Primarily relates to a net unrealized gain on our investments.</t>
        </is>
      </c>
    </row>
    <row r="58" ht="45" customHeight="1" s="186">
      <c r="A58" s="188" t="inlineStr">
        <is>
          <t>(6) In the second quarter of 2025, we began including an adjustment for the income tax effect related to our non-GAAP adjustments. Prior period non-GAAP calculations for the income tax effects on our non-GAAP adjustments are not being adjusted as these amounts were not material. [... continues in source]</t>
        </is>
      </c>
    </row>
    <row r="60">
      <c r="A60" s="13" t="inlineStr">
        <is>
          <t>Checks (added by us, NOT part of the press release) - all should be 0</t>
        </is>
      </c>
      <c r="B60" s="14" t="n"/>
      <c r="C60" s="14" t="n"/>
      <c r="D60" s="14" t="n"/>
      <c r="E60" s="14" t="n"/>
    </row>
    <row r="61">
      <c r="A61" s="11" t="inlineStr">
        <is>
          <t>Adjusted EBITDA = sum of reconciling items</t>
        </is>
      </c>
      <c r="B61" s="15">
        <f>SUM(B9:B16)-B17</f>
        <v/>
      </c>
      <c r="C61" s="15">
        <f>SUM(C9:C16)-C17</f>
        <v/>
      </c>
      <c r="D61" s="15">
        <f>SUM(D9:D16)-D17</f>
        <v/>
      </c>
      <c r="E61" s="15">
        <f>SUM(E9:E16)-E17</f>
        <v/>
      </c>
    </row>
    <row r="62">
      <c r="A62" s="11" t="inlineStr">
        <is>
          <t>Adjusted operating income = sum of items</t>
        </is>
      </c>
      <c r="B62" s="15">
        <f>SUM(B27:B30)-B31</f>
        <v/>
      </c>
      <c r="C62" s="15">
        <f>SUM(C27:C30)-C31</f>
        <v/>
      </c>
      <c r="D62" s="15">
        <f>SUM(D27:D30)-D31</f>
        <v/>
      </c>
      <c r="E62" s="15">
        <f>SUM(E27:E30)-E31</f>
        <v/>
      </c>
    </row>
    <row r="63">
      <c r="A63" s="11" t="inlineStr">
        <is>
          <t>Adjusted net loss = sum of items</t>
        </is>
      </c>
      <c r="B63" s="15">
        <f>SUM(B41:B48)-B49</f>
        <v/>
      </c>
      <c r="C63" s="15">
        <f>SUM(C41:C48)-C49</f>
        <v/>
      </c>
      <c r="D63" s="15">
        <f>SUM(D41:D48)-D49</f>
        <v/>
      </c>
      <c r="E63" s="15">
        <f>SUM(E41:E48)-E49</f>
        <v/>
      </c>
    </row>
  </sheetData>
  <mergeCells count="17">
    <mergeCell ref="D25:E25"/>
    <mergeCell ref="A53:E53"/>
    <mergeCell ref="A55:E55"/>
    <mergeCell ref="A21:E21"/>
    <mergeCell ref="B39:C39"/>
    <mergeCell ref="A4:E4"/>
    <mergeCell ref="A57:E57"/>
    <mergeCell ref="D7:E7"/>
    <mergeCell ref="A54:E54"/>
    <mergeCell ref="B25:C25"/>
    <mergeCell ref="B7:C7"/>
    <mergeCell ref="A35:E35"/>
    <mergeCell ref="A36:E36"/>
    <mergeCell ref="A58:E58"/>
    <mergeCell ref="A22:E22"/>
    <mergeCell ref="A56:E56"/>
    <mergeCell ref="D39:E39"/>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63"/>
  <sheetViews>
    <sheetView showGridLines="0" zoomScaleNormal="100" workbookViewId="0">
      <selection activeCell="A1" sqref="A1"/>
    </sheetView>
  </sheetViews>
  <sheetFormatPr baseColWidth="10" defaultColWidth="8.6640625" defaultRowHeight="15"/>
  <cols>
    <col width="66" customWidth="1" style="186" min="1" max="1"/>
    <col width="12" customWidth="1" style="186" min="2" max="5"/>
  </cols>
  <sheetData>
    <row r="1" ht="16.5" customHeight="1" s="186">
      <c r="A1" s="5" t="inlineStr">
        <is>
          <t>Q4 2025 Earnings Release - Non-GAAP Reconciliations</t>
        </is>
      </c>
    </row>
    <row r="2">
      <c r="A2" s="6" t="inlineStr">
        <is>
          <t>Source: 8-K filed 2026-02-26 (Item 2.02), Exhibit 99.1</t>
        </is>
      </c>
    </row>
    <row r="3">
      <c r="A3" s="6" t="inlineStr">
        <is>
          <t>https://www.sec.gov/Archives/edgar/data/1769628/000176962826000094/coreweave4q25earningspress.htm</t>
        </is>
      </c>
    </row>
    <row r="4" ht="63.75" customHeight="1" s="186">
      <c r="A4" s="188" t="inlineStr">
        <is>
          <t>Company's own words (excerpt): To supplement our consolidated financial statements, which are prepared and presented in accordance with generally accepted accounting principles in the United States (“GAAP”), we use adjusted EBITDA and adjusted EBITDA margin, adjusted operating income (loss) and adjusted operating income (loss) margin, adjusted net income (loss) and adjusted net income (loss) margin, collectively, to help us evaluate our business. ... These non-GAAP financial measures are presented for supplemental informational purposes only, should not be considered a substitute for financial information presented in accordance with GAAP, and may be different from similarly titled non-GAAP measures used by other companies.</t>
        </is>
      </c>
    </row>
    <row r="6">
      <c r="A6" s="10" t="inlineStr">
        <is>
          <t>Reconciliation of Net Loss to Adjusted EBITDA (in millions, except percentages)</t>
        </is>
      </c>
    </row>
    <row r="7">
      <c r="A7" s="17" t="n"/>
      <c r="B7" s="187" t="inlineStr">
        <is>
          <t>Three Months Ended December 31,</t>
        </is>
      </c>
      <c r="D7" s="187" t="inlineStr">
        <is>
          <t>Twelve Months Ended December 31,</t>
        </is>
      </c>
    </row>
    <row r="8">
      <c r="A8" s="17" t="n"/>
      <c r="B8" s="187" t="inlineStr">
        <is>
          <t>2025</t>
        </is>
      </c>
      <c r="C8" s="187" t="inlineStr">
        <is>
          <t>2024</t>
        </is>
      </c>
      <c r="D8" s="187" t="inlineStr">
        <is>
          <t>2025</t>
        </is>
      </c>
      <c r="E8" s="187" t="inlineStr">
        <is>
          <t>2024</t>
        </is>
      </c>
    </row>
    <row r="9">
      <c r="A9" s="11" t="inlineStr">
        <is>
          <t>Net loss</t>
        </is>
      </c>
      <c r="B9" s="12" t="n">
        <v>-452</v>
      </c>
      <c r="C9" s="12" t="n">
        <v>-51</v>
      </c>
      <c r="D9" s="12" t="n">
        <v>-1167</v>
      </c>
      <c r="E9" s="12" t="n">
        <v>-863</v>
      </c>
    </row>
    <row r="10">
      <c r="A10" s="11" t="inlineStr">
        <is>
          <t>Depreciation and amortization</t>
        </is>
      </c>
      <c r="B10" s="12" t="n">
        <v>821</v>
      </c>
      <c r="C10" s="12" t="n">
        <v>365</v>
      </c>
      <c r="D10" s="12" t="n">
        <v>2454</v>
      </c>
      <c r="E10" s="12" t="n">
        <v>863</v>
      </c>
    </row>
    <row r="11">
      <c r="A11" s="11" t="inlineStr">
        <is>
          <t>Interest expense, net</t>
        </is>
      </c>
      <c r="B11" s="12" t="n">
        <v>388</v>
      </c>
      <c r="C11" s="12" t="n">
        <v>149</v>
      </c>
      <c r="D11" s="12" t="n">
        <v>1229</v>
      </c>
      <c r="E11" s="12" t="n">
        <v>361</v>
      </c>
    </row>
    <row r="12">
      <c r="A12" s="11" t="inlineStr">
        <is>
          <t>Stock-based compensation</t>
        </is>
      </c>
      <c r="B12" s="12" t="n">
        <v>157</v>
      </c>
      <c r="C12" s="12" t="n">
        <v>8</v>
      </c>
      <c r="D12" s="12" t="n">
        <v>630</v>
      </c>
      <c r="E12" s="12" t="n">
        <v>31</v>
      </c>
    </row>
    <row r="13">
      <c r="A13" s="11" t="inlineStr">
        <is>
          <t>Acquisition related costs(1)</t>
        </is>
      </c>
      <c r="B13" s="12" t="n">
        <v>9</v>
      </c>
      <c r="C13" s="12" t="n">
        <v>0</v>
      </c>
      <c r="D13" s="12" t="n">
        <v>55</v>
      </c>
      <c r="E13" s="12" t="n">
        <v>0</v>
      </c>
    </row>
    <row r="14">
      <c r="A14" s="11" t="inlineStr">
        <is>
          <t>(Gain) loss on fair value adjustments(2)</t>
        </is>
      </c>
      <c r="B14" s="12" t="n">
        <v>0</v>
      </c>
      <c r="C14" s="12" t="n">
        <v>7</v>
      </c>
      <c r="D14" s="12" t="n">
        <v>-27</v>
      </c>
      <c r="E14" s="12" t="n">
        <v>756</v>
      </c>
    </row>
    <row r="15">
      <c r="A15" s="11" t="inlineStr">
        <is>
          <t>Other income, net</t>
        </is>
      </c>
      <c r="B15" s="12" t="n">
        <v>-10</v>
      </c>
      <c r="C15" s="12" t="n">
        <v>-14</v>
      </c>
      <c r="D15" s="12" t="n">
        <v>-33</v>
      </c>
      <c r="E15" s="12" t="n">
        <v>-48</v>
      </c>
    </row>
    <row r="16">
      <c r="A16" s="11" t="inlineStr">
        <is>
          <t>Provision for (benefit from) income taxes</t>
        </is>
      </c>
      <c r="B16" s="12" t="n">
        <v>-15</v>
      </c>
      <c r="C16" s="12" t="n">
        <v>22</v>
      </c>
      <c r="D16" s="12" t="n">
        <v>-48</v>
      </c>
      <c r="E16" s="12" t="n">
        <v>119</v>
      </c>
    </row>
    <row r="17">
      <c r="A17" s="11" t="inlineStr">
        <is>
          <t>Adjusted EBITDA</t>
        </is>
      </c>
      <c r="B17" s="12" t="n">
        <v>898</v>
      </c>
      <c r="C17" s="12" t="n">
        <v>486</v>
      </c>
      <c r="D17" s="12" t="n">
        <v>3093</v>
      </c>
      <c r="E17" s="12" t="n">
        <v>1219</v>
      </c>
    </row>
    <row r="18">
      <c r="A18" s="11" t="inlineStr">
        <is>
          <t>Revenue</t>
        </is>
      </c>
      <c r="B18" s="12" t="n">
        <v>1572</v>
      </c>
      <c r="C18" s="12" t="n">
        <v>747</v>
      </c>
      <c r="D18" s="12" t="n">
        <v>5131</v>
      </c>
      <c r="E18" s="12" t="n">
        <v>1915</v>
      </c>
    </row>
    <row r="19">
      <c r="A19" s="11" t="inlineStr">
        <is>
          <t>Net loss margin</t>
        </is>
      </c>
      <c r="B19" s="12" t="n">
        <v>-29</v>
      </c>
      <c r="C19" s="12" t="n">
        <v>-7</v>
      </c>
      <c r="D19" s="12" t="n">
        <v>-23</v>
      </c>
      <c r="E19" s="12" t="n">
        <v>-45</v>
      </c>
    </row>
    <row r="20">
      <c r="A20" s="11" t="inlineStr">
        <is>
          <t>Adjusted EBITDA margin</t>
        </is>
      </c>
      <c r="B20" s="12" t="n">
        <v>57</v>
      </c>
      <c r="C20" s="12" t="n">
        <v>65</v>
      </c>
      <c r="D20" s="12" t="n">
        <v>60</v>
      </c>
      <c r="E20" s="12" t="n">
        <v>64</v>
      </c>
    </row>
    <row r="21" ht="45" customHeight="1" s="186">
      <c r="A21" s="188" t="inlineStr">
        <is>
          <t>(1) Acquisition related costs include direct transaction costs, such as due diligence, advisory, and professional services fees, and certain compensation and integration related expenses. We exclude acquisition related costs, as we believe these transaction-specific expenses are inconsistent in amount and frequency, and do not correlate to the operation of our business.</t>
        </is>
      </c>
    </row>
    <row r="22" ht="75" customHeight="1" s="186">
      <c r="A22" s="188" t="inlineStr">
        <is>
          <t>(2) Represents adjustments related to recording our derivative liabilities at fair value at the end of each reporting period for our 2021 Convertible Senior Secured Notes, warrant liabilities related to our 2022 Senior Secured Notes, and the fair value remeasurement of the option liability in connection with our Series B redeemable convertible preferred stock. Refer to Note 3. Investments and Fair Value Measurements to our consolidated financial statements included in our Annual Report on Form 10-K filed or to be filed with the SEC for the year ended December 31, 2025 for additional information.</t>
        </is>
      </c>
    </row>
    <row r="24">
      <c r="A24" s="10" t="inlineStr">
        <is>
          <t>Reconciliation of Operating Income to Adjusted Operating Income (in millions, except percentages)</t>
        </is>
      </c>
    </row>
    <row r="25">
      <c r="A25" s="17" t="n"/>
      <c r="B25" s="187" t="inlineStr">
        <is>
          <t>Three Months Ended December 31,</t>
        </is>
      </c>
      <c r="D25" s="187" t="inlineStr">
        <is>
          <t>Twelve Months Ended December 31,</t>
        </is>
      </c>
    </row>
    <row r="26">
      <c r="A26" s="17" t="n"/>
      <c r="B26" s="187" t="inlineStr">
        <is>
          <t>2025</t>
        </is>
      </c>
      <c r="C26" s="187" t="inlineStr">
        <is>
          <t>2024</t>
        </is>
      </c>
      <c r="D26" s="187" t="inlineStr">
        <is>
          <t>2025</t>
        </is>
      </c>
      <c r="E26" s="187" t="inlineStr">
        <is>
          <t>2024</t>
        </is>
      </c>
    </row>
    <row r="27">
      <c r="A27" s="11" t="inlineStr">
        <is>
          <t>Operating income (loss)</t>
        </is>
      </c>
      <c r="B27" s="12" t="n">
        <v>-89</v>
      </c>
      <c r="C27" s="12" t="n">
        <v>113</v>
      </c>
      <c r="D27" s="12" t="n">
        <v>-46</v>
      </c>
      <c r="E27" s="12" t="n">
        <v>324</v>
      </c>
    </row>
    <row r="28">
      <c r="A28" s="11" t="inlineStr">
        <is>
          <t>Stock-based compensation</t>
        </is>
      </c>
      <c r="B28" s="12" t="n">
        <v>157</v>
      </c>
      <c r="C28" s="12" t="n">
        <v>8</v>
      </c>
      <c r="D28" s="12" t="n">
        <v>630</v>
      </c>
      <c r="E28" s="12" t="n">
        <v>32</v>
      </c>
    </row>
    <row r="29">
      <c r="A29" s="11" t="inlineStr">
        <is>
          <t>Acquisition related costs(1)</t>
        </is>
      </c>
      <c r="B29" s="12" t="n">
        <v>9</v>
      </c>
      <c r="C29" s="12" t="n">
        <v>0</v>
      </c>
      <c r="D29" s="12" t="n">
        <v>55</v>
      </c>
      <c r="E29" s="12" t="n">
        <v>0</v>
      </c>
    </row>
    <row r="30">
      <c r="A30" s="11" t="inlineStr">
        <is>
          <t>Amortization of acquired intangibles(2)</t>
        </is>
      </c>
      <c r="B30" s="12" t="n">
        <v>11</v>
      </c>
      <c r="C30" s="12" t="n">
        <v>0</v>
      </c>
      <c r="D30" s="12" t="n">
        <v>27</v>
      </c>
      <c r="E30" s="12" t="n">
        <v>0</v>
      </c>
    </row>
    <row r="31">
      <c r="A31" s="11" t="inlineStr">
        <is>
          <t>Adjusted operating income</t>
        </is>
      </c>
      <c r="B31" s="12" t="n">
        <v>88</v>
      </c>
      <c r="C31" s="12" t="n">
        <v>121</v>
      </c>
      <c r="D31" s="12" t="n">
        <v>666</v>
      </c>
      <c r="E31" s="12" t="n">
        <v>356</v>
      </c>
    </row>
    <row r="32">
      <c r="A32" s="11" t="inlineStr">
        <is>
          <t>Revenue</t>
        </is>
      </c>
      <c r="B32" s="12" t="n">
        <v>1572</v>
      </c>
      <c r="C32" s="12" t="n">
        <v>747</v>
      </c>
      <c r="D32" s="12" t="n">
        <v>5131</v>
      </c>
      <c r="E32" s="12" t="n">
        <v>1915</v>
      </c>
    </row>
    <row r="33">
      <c r="A33" s="11" t="inlineStr">
        <is>
          <t>Operating income margin</t>
        </is>
      </c>
      <c r="B33" s="12" t="n">
        <v>-6</v>
      </c>
      <c r="C33" s="12" t="n">
        <v>15</v>
      </c>
      <c r="D33" s="12" t="n">
        <v>-1</v>
      </c>
      <c r="E33" s="12" t="n">
        <v>17</v>
      </c>
    </row>
    <row r="34">
      <c r="A34" s="11" t="inlineStr">
        <is>
          <t>Adjusted operating income margin</t>
        </is>
      </c>
      <c r="B34" s="12" t="n">
        <v>6</v>
      </c>
      <c r="C34" s="12" t="n">
        <v>16</v>
      </c>
      <c r="D34" s="12" t="n">
        <v>13</v>
      </c>
      <c r="E34" s="12" t="n">
        <v>19</v>
      </c>
    </row>
    <row r="35" ht="45" customHeight="1" s="186">
      <c r="A35" s="188" t="inlineStr">
        <is>
          <t>(1) Acquisition related costs include direct transaction costs, such as due diligence, advisory, and professional services fees, and certain compensation and integration related expenses. We exclude acquisition related costs, as we believe these transaction-specific expenses are inconsistent in amount and frequency, and do not correlate to the operation of our business.</t>
        </is>
      </c>
    </row>
    <row r="36" ht="45" customHeight="1" s="186">
      <c r="A36" s="188" t="inlineStr">
        <is>
          <t>(2) In the second quarter of 2025, we began including an adjustment for the amortization of acquired intangibles in our calculation of adjusted operating income (loss). Prior period non-GAAP calculations for acquired intangible amortization are not being adjusted as these amounts were insignificant.</t>
        </is>
      </c>
    </row>
    <row r="38">
      <c r="A38" s="10" t="inlineStr">
        <is>
          <t>Reconciliation of Net Loss to Adjusted Net Loss (in millions, except percentages)</t>
        </is>
      </c>
    </row>
    <row r="39">
      <c r="A39" s="17" t="n"/>
      <c r="B39" s="187" t="inlineStr">
        <is>
          <t>Three Months Ended December 31,</t>
        </is>
      </c>
      <c r="D39" s="187" t="inlineStr">
        <is>
          <t>Twelve Months Ended December 31,</t>
        </is>
      </c>
    </row>
    <row r="40">
      <c r="A40" s="17" t="n"/>
      <c r="B40" s="187" t="inlineStr">
        <is>
          <t>2025</t>
        </is>
      </c>
      <c r="C40" s="187" t="inlineStr">
        <is>
          <t>2024</t>
        </is>
      </c>
      <c r="D40" s="187" t="inlineStr">
        <is>
          <t>2025</t>
        </is>
      </c>
      <c r="E40" s="187" t="inlineStr">
        <is>
          <t>2024</t>
        </is>
      </c>
    </row>
    <row r="41">
      <c r="A41" s="11" t="inlineStr">
        <is>
          <t>Net loss</t>
        </is>
      </c>
      <c r="B41" s="12" t="n">
        <v>-452</v>
      </c>
      <c r="C41" s="12" t="n">
        <v>-51</v>
      </c>
      <c r="D41" s="12" t="n">
        <v>-1167</v>
      </c>
      <c r="E41" s="12" t="n">
        <v>-863</v>
      </c>
    </row>
    <row r="42">
      <c r="A42" s="11" t="inlineStr">
        <is>
          <t>Stock-based compensation</t>
        </is>
      </c>
      <c r="B42" s="12" t="n">
        <v>157</v>
      </c>
      <c r="C42" s="12" t="n">
        <v>8</v>
      </c>
      <c r="D42" s="12" t="n">
        <v>630</v>
      </c>
      <c r="E42" s="12" t="n">
        <v>31</v>
      </c>
    </row>
    <row r="43">
      <c r="A43" s="11" t="inlineStr">
        <is>
          <t>Loss on extinguishment of debt(1)</t>
        </is>
      </c>
      <c r="B43" s="12" t="n">
        <v>4</v>
      </c>
      <c r="C43" s="12" t="n">
        <v>0</v>
      </c>
      <c r="D43" s="12" t="n">
        <v>29</v>
      </c>
      <c r="E43" s="12" t="n">
        <v>0</v>
      </c>
    </row>
    <row r="44">
      <c r="A44" s="11" t="inlineStr">
        <is>
          <t>Acquisition related costs(2)</t>
        </is>
      </c>
      <c r="B44" s="12" t="n">
        <v>9</v>
      </c>
      <c r="C44" s="12" t="n">
        <v>0</v>
      </c>
      <c r="D44" s="12" t="n">
        <v>55</v>
      </c>
      <c r="E44" s="12" t="n">
        <v>0</v>
      </c>
    </row>
    <row r="45">
      <c r="A45" s="11" t="inlineStr">
        <is>
          <t>Amortization of acquired intangibles(3)</t>
        </is>
      </c>
      <c r="B45" s="12" t="n">
        <v>11</v>
      </c>
      <c r="C45" s="12" t="n">
        <v>0</v>
      </c>
      <c r="D45" s="12" t="n">
        <v>27</v>
      </c>
      <c r="E45" s="12" t="n">
        <v>0</v>
      </c>
    </row>
    <row r="46">
      <c r="A46" s="11" t="inlineStr">
        <is>
          <t>(Gain) loss on fair value adjustments(4)</t>
        </is>
      </c>
      <c r="B46" s="12" t="n">
        <v>0</v>
      </c>
      <c r="C46" s="12" t="n">
        <v>7</v>
      </c>
      <c r="D46" s="12" t="n">
        <v>-27</v>
      </c>
      <c r="E46" s="12" t="n">
        <v>756</v>
      </c>
    </row>
    <row r="47">
      <c r="A47" s="11" t="inlineStr">
        <is>
          <t>Other adjustments(5)</t>
        </is>
      </c>
      <c r="B47" s="12" t="n">
        <v>0</v>
      </c>
      <c r="C47" s="12" t="n">
        <v>0</v>
      </c>
      <c r="D47" s="12" t="n">
        <v>-23</v>
      </c>
      <c r="E47" s="12" t="n">
        <v>11</v>
      </c>
    </row>
    <row r="48">
      <c r="A48" s="11" t="inlineStr">
        <is>
          <t>Income tax, inclusive of the tax effect of the above adjustments(6)</t>
        </is>
      </c>
      <c r="B48" s="12" t="n">
        <v>-13</v>
      </c>
      <c r="C48" s="12" t="n">
        <v>0</v>
      </c>
      <c r="D48" s="12" t="n">
        <v>-130</v>
      </c>
      <c r="E48" s="12" t="n">
        <v>0</v>
      </c>
    </row>
    <row r="49">
      <c r="A49" s="11" t="inlineStr">
        <is>
          <t>Adjusted net loss</t>
        </is>
      </c>
      <c r="B49" s="12" t="n">
        <v>-284</v>
      </c>
      <c r="C49" s="12" t="n">
        <v>-36</v>
      </c>
      <c r="D49" s="12" t="n">
        <v>-606</v>
      </c>
      <c r="E49" s="12" t="n">
        <v>-65</v>
      </c>
    </row>
    <row r="50">
      <c r="A50" s="11" t="inlineStr">
        <is>
          <t>Revenue</t>
        </is>
      </c>
      <c r="B50" s="12" t="n">
        <v>1572</v>
      </c>
      <c r="C50" s="12" t="n">
        <v>747</v>
      </c>
      <c r="D50" s="12" t="n">
        <v>5131</v>
      </c>
      <c r="E50" s="12" t="n">
        <v>1915</v>
      </c>
    </row>
    <row r="51">
      <c r="A51" s="11" t="inlineStr">
        <is>
          <t>Net loss margin</t>
        </is>
      </c>
      <c r="B51" s="12" t="n">
        <v>-29</v>
      </c>
      <c r="C51" s="12" t="n">
        <v>-7</v>
      </c>
      <c r="D51" s="12" t="n">
        <v>-23</v>
      </c>
      <c r="E51" s="12" t="n">
        <v>-45</v>
      </c>
    </row>
    <row r="52">
      <c r="A52" s="11" t="inlineStr">
        <is>
          <t>Adjusted net loss margin</t>
        </is>
      </c>
      <c r="B52" s="12" t="n">
        <v>-18</v>
      </c>
      <c r="C52" s="12" t="n">
        <v>-5</v>
      </c>
      <c r="D52" s="12" t="n">
        <v>-12</v>
      </c>
      <c r="E52" s="12" t="n">
        <v>-3</v>
      </c>
    </row>
    <row r="53" ht="30" customHeight="1" s="186">
      <c r="A53" s="188" t="inlineStr">
        <is>
          <t>(1) Primarily relates to losses recognized upon the early extinguishment of certain OEM financing arrangements, as well as accelerated amortization of debt discount and debt issuance costs related to our 2024 Term Loan, which was repaid in connection with the IPO.</t>
        </is>
      </c>
    </row>
    <row r="54" ht="15" customHeight="1" s="186">
      <c r="A54" s="188" t="inlineStr">
        <is>
          <t>(2) Acquisition related costs - same text as above.</t>
        </is>
      </c>
    </row>
    <row r="55" ht="30" customHeight="1" s="186">
      <c r="A55" s="188" t="inlineStr">
        <is>
          <t>(3) In the second quarter of 2025, we began including an adjustment for the amortization of acquired intangibles in our calculation of adjusted net loss. Prior period non-GAAP calculations for acquired intangible amortization are not being adjusted as these amounts were insignificant.</t>
        </is>
      </c>
    </row>
    <row r="56" ht="15" customHeight="1" s="186">
      <c r="A56" s="188" t="inlineStr">
        <is>
          <t>(4) Fair value adjustments - same text as footnote (2) of the Adjusted EBITDA table.</t>
        </is>
      </c>
    </row>
    <row r="57" ht="15" customHeight="1" s="186">
      <c r="A57" s="188" t="inlineStr">
        <is>
          <t>(5) Primarily relates to a net unrealized gain on our strategic investments.</t>
        </is>
      </c>
    </row>
    <row r="58" ht="45" customHeight="1" s="186">
      <c r="A58" s="188" t="inlineStr">
        <is>
          <t>(6) In the second quarter of 2025, we began including an adjustment for the income tax effect related to our non-GAAP adjustments. Prior period non-GAAP calculations for the income tax effects on our non-GAAP adjustments are not being adjusted as these amounts were not material. [... continues in source]</t>
        </is>
      </c>
    </row>
    <row r="60">
      <c r="A60" s="13" t="inlineStr">
        <is>
          <t>Checks (added by us, NOT part of the press release) - all should be 0</t>
        </is>
      </c>
      <c r="B60" s="14" t="n"/>
      <c r="C60" s="14" t="n"/>
      <c r="D60" s="14" t="n"/>
      <c r="E60" s="14" t="n"/>
    </row>
    <row r="61">
      <c r="A61" s="11" t="inlineStr">
        <is>
          <t>Adjusted EBITDA = sum of reconciling items</t>
        </is>
      </c>
      <c r="B61" s="15">
        <f>SUM(B9:B16)-B17</f>
        <v/>
      </c>
      <c r="C61" s="15">
        <f>SUM(C9:C16)-C17</f>
        <v/>
      </c>
      <c r="D61" s="15">
        <f>SUM(D9:D16)-D17</f>
        <v/>
      </c>
      <c r="E61" s="15">
        <f>SUM(E9:E16)-E17</f>
        <v/>
      </c>
    </row>
    <row r="62">
      <c r="A62" s="11" t="inlineStr">
        <is>
          <t>Adjusted operating income = sum of items</t>
        </is>
      </c>
      <c r="B62" s="15">
        <f>SUM(B27:B30)-B31</f>
        <v/>
      </c>
      <c r="C62" s="15">
        <f>SUM(C27:C30)-C31</f>
        <v/>
      </c>
      <c r="D62" s="15">
        <f>SUM(D27:D30)-D31</f>
        <v/>
      </c>
      <c r="E62" s="15">
        <f>SUM(E27:E30)-E31</f>
        <v/>
      </c>
    </row>
    <row r="63">
      <c r="A63" s="11" t="inlineStr">
        <is>
          <t>Adjusted net loss = sum of items</t>
        </is>
      </c>
      <c r="B63" s="15">
        <f>SUM(B41:B48)-B49</f>
        <v/>
      </c>
      <c r="C63" s="15">
        <f>SUM(C41:C48)-C49</f>
        <v/>
      </c>
      <c r="D63" s="15">
        <f>SUM(D41:D48)-D49</f>
        <v/>
      </c>
      <c r="E63" s="15">
        <f>SUM(E41:E48)-E49</f>
        <v/>
      </c>
    </row>
  </sheetData>
  <mergeCells count="17">
    <mergeCell ref="D25:E25"/>
    <mergeCell ref="A53:E53"/>
    <mergeCell ref="A55:E55"/>
    <mergeCell ref="A21:E21"/>
    <mergeCell ref="B39:C39"/>
    <mergeCell ref="A4:E4"/>
    <mergeCell ref="A57:E57"/>
    <mergeCell ref="D7:E7"/>
    <mergeCell ref="A54:E54"/>
    <mergeCell ref="B25:C25"/>
    <mergeCell ref="B7:C7"/>
    <mergeCell ref="A35:E35"/>
    <mergeCell ref="A36:E36"/>
    <mergeCell ref="A58:E58"/>
    <mergeCell ref="A22:E22"/>
    <mergeCell ref="A56:E56"/>
    <mergeCell ref="D39:E39"/>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C40"/>
  <sheetViews>
    <sheetView showGridLines="0" zoomScaleNormal="100" workbookViewId="0">
      <selection activeCell="C27" sqref="C27"/>
    </sheetView>
  </sheetViews>
  <sheetFormatPr baseColWidth="10" defaultColWidth="8.6640625" defaultRowHeight="15"/>
  <cols>
    <col width="6" customWidth="1" style="186" min="1" max="1"/>
    <col width="16" customWidth="1" style="186" min="2" max="2"/>
    <col width="140" customWidth="1" style="186" min="3" max="3"/>
  </cols>
  <sheetData>
    <row r="1" ht="16.5" customHeight="1" s="186">
      <c r="A1" s="5" t="inlineStr">
        <is>
          <t>Subsequent events known on the analysis date (2026-08-13)</t>
        </is>
      </c>
    </row>
    <row r="2">
      <c r="A2" s="28" t="inlineStr">
        <is>
          <t>Word for word. Events AFTER 2026-08-13 are deliberately excluded (e.g., the September 2026 convertible notes).</t>
        </is>
      </c>
    </row>
    <row r="4">
      <c r="A4" s="8" t="inlineStr">
        <is>
          <t>¶</t>
        </is>
      </c>
      <c r="B4" s="8" t="inlineStr">
        <is>
          <t>Document / section</t>
        </is>
      </c>
      <c r="C4" s="8" t="inlineStr">
        <is>
          <t>Text (verbatim)</t>
        </is>
      </c>
    </row>
    <row r="5">
      <c r="A5" s="25" t="inlineStr">
        <is>
          <t>A. 10-Q Q2 2026, Note 16 - Subsequent Events</t>
        </is>
      </c>
      <c r="B5" s="26" t="n"/>
      <c r="C5" s="26" t="n"/>
    </row>
    <row r="6">
      <c r="A6" s="6" t="inlineStr">
        <is>
          <t>https://www.sec.gov/Archives/edgar/data/1769628/000176962826000366/R22.htm</t>
        </is>
      </c>
    </row>
    <row r="7" ht="78" customHeight="1" s="186">
      <c r="A7" s="6" t="n">
        <v>1</v>
      </c>
      <c r="B7" s="6" t="inlineStr">
        <is>
          <t>Note 16</t>
        </is>
      </c>
      <c r="C7" s="22" t="inlineStr">
        <is>
          <t>In August 2026, one of the Company's indirect subsidiaries, CoreWeave Financing DDTL V-V, LLC entered into a delayed draw term loan facility agreement with various lenders and JPMorgan Chase Bank, N.A., as the administrative agent. The agreement provides a $2.6 billion delayed draw term loan facility (the “DDTL 5.5 Facility”) available in one or more draws through the commitment termination date in December 2026. Interest on outstanding borrowings on the DDTL 5.5 Facility accrues for SOFR loans at an interest rate per annum equal to the Term SOFR plus an applicable margin of 5.5% or for base rate loans at the applicable base rate plus 4.5% per annum, at the Company's election. The DDTL 5.5 Facility matures in September 2031. Subsequent to the closing, the Company has drawn $1.2 billion.</t>
        </is>
      </c>
    </row>
    <row r="8" ht="13.5" customHeight="1" s="186">
      <c r="A8" s="6" t="n">
        <v>2</v>
      </c>
      <c r="B8" s="6" t="inlineStr">
        <is>
          <t>Note 16</t>
        </is>
      </c>
      <c r="C8" s="22" t="inlineStr">
        <is>
          <t>In August 2026, the Company made a $1.2 billion draw down on the Revolving Credit Facility.</t>
        </is>
      </c>
    </row>
    <row r="10">
      <c r="A10" s="25" t="inlineStr">
        <is>
          <t>B. 8-K filed 2026-08-10 (event date 2026-08-07), Items 1.01 and 2.03</t>
        </is>
      </c>
      <c r="B10" s="26" t="n"/>
      <c r="C10" s="26" t="n"/>
    </row>
    <row r="11">
      <c r="A11" s="6" t="inlineStr">
        <is>
          <t>https://www.sec.gov/Archives/edgar/data/1769628/000176962826000357/crwv-20260807.htm</t>
        </is>
      </c>
    </row>
    <row r="12" ht="90.75" customHeight="1" s="186">
      <c r="A12" s="6" t="n">
        <v>1</v>
      </c>
      <c r="B12" s="6" t="inlineStr">
        <is>
          <t>8-K body</t>
        </is>
      </c>
      <c r="C12" s="22" t="inlineStr">
        <is>
          <t>Item 1.01 Entry into a Material Definitive Agreement.On August 7, 2026, CoreWeave Financing DDTL V-V, LLC (the “Borrower”), a Delaware limited liability company and an indirect subsidiary of CoreWeave, Inc., a Delaware corporation (the “Parent”), entered into a credit agreement (the “Credit Agreement”) with, inter alios, JPMorgan Chase Bank, N.A., as administrative agent, U.S. Bank Trust Company, National Association, as collateral agent, U.S. Bank National Association, as depositary bank, JPMorgan Chase Bank, N.A. and MUFG Bank, Ltd. as joint lead arrangers, joint bookrunners and syndication agents, and the lenders party thereto, providing for a $2.6 billion delayed draw term loan facility (the “DDTL 5.5 Facility”). The DDTL 5.5 Facility was entered into primarily to finance capital expenditures required to perform certain customer contracts, including the acquisition of GPU servers and related infrastructure.</t>
        </is>
      </c>
    </row>
    <row r="13" ht="25.5" customHeight="1" s="186">
      <c r="A13" s="6" t="n">
        <v>2</v>
      </c>
      <c r="B13" s="6" t="inlineStr">
        <is>
          <t>8-K body</t>
        </is>
      </c>
      <c r="C13" s="22" t="inlineStr">
        <is>
          <t>Availability and MaturityThe DDTL 5.5 Facility provides for delayed draw term loans available in one or more draws until the commitment termination date in December 2026. The maturity date of the DDTL 5.5 Facility is September 1, 2031.</t>
        </is>
      </c>
    </row>
    <row r="14" ht="78" customHeight="1" s="186">
      <c r="A14" s="6" t="n">
        <v>3</v>
      </c>
      <c r="B14" s="6" t="inlineStr">
        <is>
          <t>8-K body</t>
        </is>
      </c>
      <c r="C14" s="22" t="inlineStr">
        <is>
          <t>Interest Rate and FeesAmounts borrowed under the DDTL 5.5 Facility are subject to an interest rate per annum equal to (i) for SOFR loans, Term SOFR (subject to a 0.00% floor) plus an applicable margin of 5.50% per annum, and (ii) for base rate loans, the base rate (determined by reference to the highest of (A) the prime rate, (B) the federal funds effective rate plus 0.50% and (C) Term SOFR for a one-month tenor plus 1.00%) (subject to a 0.00% floor), plus an applicable margin of 4.50% per annum. The DDTL 5.5 Facility provides for payment of, among others, undrawn fees in an amount equal to 0.50% per annum on the average daily undrawn portion of the DDTL 5.5 Facility, which undrawn fees are payable monthly in arrears.</t>
        </is>
      </c>
    </row>
    <row r="15" ht="78" customHeight="1" s="186">
      <c r="A15" s="6" t="n">
        <v>4</v>
      </c>
      <c r="B15" s="6" t="inlineStr">
        <is>
          <t>8-K body</t>
        </is>
      </c>
      <c r="C15" s="22" t="inlineStr">
        <is>
          <t>Guarantees and SecurityAll obligations under the DDTL 5.5 Facility are unconditionally guaranteed by the Parent pursuant to a parent guarantee and pledge agreement, dated as of August 7, 2026, by and among the Parent, CW Financing DDTL V-V Holdco, LLC, a Delaware limited liability company, and U.S. Bank Trust Company, National Association (the “Parent Guarantee and Pledge Agreement”), and all obligations under the DDTL 5.5 Facility are also unconditionally guaranteed by the subsidiaries of the Borrower pursuant to a collateral agreement. All obligations under the DDTL 5.5 Facility are secured by substantially all assets of the Borrower and its subsidiaries and a pledge of 100% of the equity interests in the Borrower held by CW Financing DDTL V-V Holdco, LLC.</t>
        </is>
      </c>
    </row>
    <row r="16" ht="13.5" customHeight="1" s="186">
      <c r="A16" s="6" t="n">
        <v>5</v>
      </c>
      <c r="B16" s="6" t="inlineStr">
        <is>
          <t>8-K body</t>
        </is>
      </c>
      <c r="C16" s="22" t="inlineStr">
        <is>
          <t>CovenantsThe Borrower is required to comply with the following covenants, among others described in the Credit Agreement:</t>
        </is>
      </c>
    </row>
    <row r="17" ht="25.5" customHeight="1" s="186">
      <c r="A17" s="6" t="n">
        <v>6</v>
      </c>
      <c r="B17" s="6" t="inlineStr">
        <is>
          <t>8-K body</t>
        </is>
      </c>
      <c r="C17" s="22" t="inlineStr">
        <is>
          <t>Debt Service Coverage Ratio. Beginning the first full calendar month after the earlier to occur of (a) the date on which the commitments are reduced to zero and (b) December 31, 2026, the Borrower is required to maintain a debt service coverage ratio of at least 1.35x.</t>
        </is>
      </c>
    </row>
    <row r="18" ht="51.75" customHeight="1" s="186">
      <c r="A18" s="6" t="n">
        <v>7</v>
      </c>
      <c r="B18" s="6" t="inlineStr">
        <is>
          <t>8-K body</t>
        </is>
      </c>
      <c r="C18" s="22" t="inlineStr">
        <is>
          <t>Certain Other Covenants and Events of Default. The DDTL 5.5 Facility contains a number of other customary negative covenants, and the Credit Agreement contains customary events of default, including payment defaults, failure to perform or observe covenants, cross-defaults with certain other indebtedness, a change of control, and certain bankruptcy events. The Credit Agreement also contains events of default related to certain adverse events with respect to certain material contracts.</t>
        </is>
      </c>
    </row>
    <row r="19" ht="39" customHeight="1" s="186">
      <c r="A19" s="6" t="n">
        <v>8</v>
      </c>
      <c r="B19" s="6" t="inlineStr">
        <is>
          <t>8-K body</t>
        </is>
      </c>
      <c r="C19" s="22" t="inlineStr">
        <is>
          <t>The foregoing summary of the DDTL 5.5 Facility does not purport to be complete and is qualified in its entirety by reference to the complete terms of the Credit Agreement and the Parent Guarantee and Pledge Agreement, which are filed as Exhibits 10.1 and 10.2 hereto respectively, and incorporated by reference into this Item 1.01.</t>
        </is>
      </c>
    </row>
    <row r="20" ht="25.5" customHeight="1" s="186">
      <c r="A20" s="6" t="n">
        <v>9</v>
      </c>
      <c r="B20" s="6" t="inlineStr">
        <is>
          <t>8-K body</t>
        </is>
      </c>
      <c r="C20" s="22" t="inlineStr">
        <is>
          <t>Item 2.03 Creation of a Direct Financial Obligation or an Obligation under an Off-Balance Sheet Arrangement of a Registrant.The information described above under Item 1.01 is incorporated into this Item 2.03 by reference.</t>
        </is>
      </c>
    </row>
    <row r="22">
      <c r="A22" s="25" t="inlineStr">
        <is>
          <t>C. Same 8-K, Exhibit 99.1 press release (closing 'About CoreWeave' boilerplate omitted)</t>
        </is>
      </c>
      <c r="B22" s="26" t="n"/>
      <c r="C22" s="26" t="n"/>
    </row>
    <row r="23">
      <c r="A23" s="6" t="inlineStr">
        <is>
          <t>https://www.sec.gov/Archives/edgar/data/1769628/000176962826000357/ex991pr.htm</t>
        </is>
      </c>
    </row>
    <row r="24" ht="13.5" customHeight="1" s="186">
      <c r="A24" s="6" t="n">
        <v>1</v>
      </c>
      <c r="B24" s="6" t="inlineStr">
        <is>
          <t>Ex.99.1</t>
        </is>
      </c>
      <c r="C24" s="22" t="inlineStr">
        <is>
          <t>COREWEAVE CLOSES $2.6 BILLION LOAN FACILITY, EXPANDING FINANCING FLEXIBILITY FOR AI INFRASTRUCTURE</t>
        </is>
      </c>
    </row>
    <row r="25" ht="13.5" customHeight="1" s="186">
      <c r="A25" s="6" t="n">
        <v>2</v>
      </c>
      <c r="B25" s="6" t="inlineStr">
        <is>
          <t>Ex.99.1</t>
        </is>
      </c>
      <c r="C25" s="22" t="inlineStr">
        <is>
          <t>●Facility is backed by a diverse group of leading AI, financial services, and technology customers</t>
        </is>
      </c>
    </row>
    <row r="26" ht="25.5" customHeight="1" s="186">
      <c r="A26" s="6" t="n">
        <v>3</v>
      </c>
      <c r="B26" s="6" t="inlineStr">
        <is>
          <t>Ex.99.1</t>
        </is>
      </c>
      <c r="C26" s="22" t="inlineStr">
        <is>
          <t>●Facility’s approximate five-year maturity extends beyond the average three-year length of underlying customer contracts, reflecting lender confidence in long-term GPU demand</t>
        </is>
      </c>
    </row>
    <row r="27" ht="25.5" customHeight="1" s="186">
      <c r="A27" s="6" t="n">
        <v>4</v>
      </c>
      <c r="B27" s="6" t="inlineStr">
        <is>
          <t>Ex.99.1</t>
        </is>
      </c>
      <c r="C27" s="22" t="inlineStr">
        <is>
          <t>●Innovative structure allows CoreWeave to efficiently finance shorter-dated contracts, unlocking a broader base of enterprise customers and higher-margin deals</t>
        </is>
      </c>
    </row>
    <row r="28" ht="39" customHeight="1" s="186">
      <c r="A28" s="6" t="n">
        <v>5</v>
      </c>
      <c r="B28" s="6" t="inlineStr">
        <is>
          <t>Ex.99.1</t>
        </is>
      </c>
      <c r="C28" s="22" t="inlineStr">
        <is>
          <t>LIVINGSTON, N.J. — AUGUST 10, 2026 — CoreWeave, Inc. (Nasdaq: CRWV), The Essential Cloud for AI™, today announced it has closed its $2.6 billion delayed draw term loan facility (“DDTL 5.5 Facility”), supporting the continued expansion of its AI cloud platform and committed customer deployments.</t>
        </is>
      </c>
    </row>
    <row r="29" ht="90.75" customHeight="1" s="186">
      <c r="A29" s="6" t="n">
        <v>6</v>
      </c>
      <c r="B29" s="6" t="inlineStr">
        <is>
          <t>Ex.99.1</t>
        </is>
      </c>
      <c r="C29" s="22" t="inlineStr">
        <is>
          <t>The DDTL 5.5 Facility extends CoreWeave’s HPC infrastructure-backed financing platform by broadening the scope of customer contracts eligible for publicly syndicated infrastructure financing. Unlike prior delayed draw term loan facilities backed by customer contracts extending through the maturity of the debt, the DDTL 5.5 Facility carries an approximate five-year maturity while its underlying customer contracts average approximately three years in length. By financing these shorter-date commitments, lenders are signalling confidence in the long-term value of NVIDIA GPUs running on CoreWeave’s cloud platform and a willingness to underwrite renewal risk. These shorter duration customer contracts also often command higher prices, which CoreWeave expects to allow it to capture higher margins while expanding market reach.</t>
        </is>
      </c>
    </row>
    <row r="30" ht="51.75" customHeight="1" s="186">
      <c r="A30" s="6" t="n">
        <v>7</v>
      </c>
      <c r="B30" s="6" t="inlineStr">
        <is>
          <t>Ex.99.1</t>
        </is>
      </c>
      <c r="C30" s="22" t="inlineStr">
        <is>
          <t>“This transaction demonstrates the continued evolution and growing flexibility of AI infrastructure financing and represents a major unlock for CoreWeave,” said Brannin McBee, co-founder and chief development officer at CoreWeave. “Lenders are now comfortable financing shorter-dated contracts, which allows us to target a wider variety of customers, including global enterprises that typically favor shorter-term agreements.”</t>
        </is>
      </c>
    </row>
    <row r="31" ht="25.5" customHeight="1" s="186">
      <c r="A31" s="6" t="n">
        <v>8</v>
      </c>
      <c r="B31" s="6" t="inlineStr">
        <is>
          <t>Ex.99.1</t>
        </is>
      </c>
      <c r="C31" s="22" t="inlineStr">
        <is>
          <t>The facility received ratings of Ba2 from Moody’s and BB+ from Fitch, reflecting the strength of the collateral and structural protections supporting the transaction.</t>
        </is>
      </c>
    </row>
    <row r="32" ht="39" customHeight="1" s="186">
      <c r="A32" s="6" t="n">
        <v>9</v>
      </c>
      <c r="B32" s="6" t="inlineStr">
        <is>
          <t>Ex.99.1</t>
        </is>
      </c>
      <c r="C32" s="22" t="inlineStr">
        <is>
          <t>Proceeds from the DDTL 5.5 Facility will support the purchase and deployment of HPC-backed infrastructure dedicated to customer contracts. The facility includes the option for CoreWeave to either renew existing contracts or re-lease capacity to other customers at the end of the initial underlying contracts, subject to the criteria described in the credit agreement for the DDTL 5.5 Facility.</t>
        </is>
      </c>
    </row>
    <row r="33" ht="25.5" customHeight="1" s="186">
      <c r="A33" s="6" t="n">
        <v>10</v>
      </c>
      <c r="B33" s="6" t="inlineStr">
        <is>
          <t>Ex.99.1</t>
        </is>
      </c>
      <c r="C33" s="22" t="inlineStr">
        <is>
          <t>The transaction was meaningfully oversubscribed, attracting exceptional investor demand, and priced at SOFR + 5.50%. The DDTL 5.5 Facility was issued through CoreWeave Financing DDTL V-V, LLC.</t>
        </is>
      </c>
    </row>
    <row r="34" ht="13.5" customHeight="1" s="186">
      <c r="A34" s="6" t="n">
        <v>11</v>
      </c>
      <c r="B34" s="6" t="inlineStr">
        <is>
          <t>Ex.99.1</t>
        </is>
      </c>
      <c r="C34" s="22" t="inlineStr">
        <is>
          <t>JPMorgan and Mitsubishi UFJ Financial Group served as joint lead arrangers and bookrunners for the transaction.</t>
        </is>
      </c>
    </row>
    <row r="35" ht="51.75" customHeight="1" s="186">
      <c r="A35" s="6" t="n">
        <v>12</v>
      </c>
      <c r="B35" s="6" t="inlineStr">
        <is>
          <t>Ex.99.1</t>
        </is>
      </c>
      <c r="C35" s="22" t="inlineStr">
        <is>
          <t>The DDTL 5.5 Facility builds on CoreWeave’s continued capital markets momentum and follows the company’s previously announced $3.1 billion DDTL 5.0 facility completed earlier this year. With the closing of this transaction, CoreWeave has secured more than $30 billion of debt and equity capital year-to-date, representing a significant step in CoreWeave's evolution as it continues to scale its global footprint and service offerings for a larger and more diverse set of customers.</t>
        </is>
      </c>
    </row>
    <row r="37">
      <c r="A37" s="25" t="inlineStr">
        <is>
          <t>D. Same 8-K, Exhibit 10.2 Parent Guarantee and Pledge Agreement - Section 2.1(a)-(b) only (the full agreement is ~98,000 characters)</t>
        </is>
      </c>
      <c r="B37" s="26" t="n"/>
      <c r="C37" s="26" t="n"/>
    </row>
    <row r="38">
      <c r="A38" s="6" t="inlineStr">
        <is>
          <t>https://www.sec.gov/Archives/edgar/data/1769628/000176962826000357/ex102parentguarantee.htm</t>
        </is>
      </c>
    </row>
    <row r="39" ht="129.75" customHeight="1" s="186">
      <c r="A39" s="6" t="n">
        <v>1</v>
      </c>
      <c r="B39" s="6" t="inlineStr">
        <is>
          <t>Ex.10.2 s.2.1</t>
        </is>
      </c>
      <c r="C39" s="22" t="inlineStr">
        <is>
          <t>Section 2.1Guarantee.(a)Subject to the provisions of Section 2.1(b), the Guarantor hereby unconditionally and irrevocably guarantees, as a primary obligor and not merely a surety, the prompt and complete payment and performance when due (whether at the stated maturity, by acceleration, demand or otherwise) of the Guaranteed Obligations and whether at stated maturity, by acceleration, demand or otherwise, and whether such Guaranteed Obligations are now existing or hereafter incurred (including any extensions, modifications, substitutions, amendments and renewals of any or all of such Guaranteed Obligations). Guarantor further agrees that the Guaranteed Obligations may be extended, increased, renewed, amended or modified, in whole or in part, without notice to, or further assent from Guarantor, and that Guarantor will remain bound upon its guarantee hereunder notwithstanding any such extension, increase, renewal, amendment or modification of any Guaranteed Obligations. Guarantor waives, to the fullest extent permitted under applicable Law, presentment to, demand of payment from, and protest to, the Borrower or any other Person of any of the Guaranteed Obligations, and also waives, to the fullest extent permitted under applicable Law, notice of acceptance of its guarantee and notice of protest for nonpayment.</t>
        </is>
      </c>
    </row>
    <row r="40" ht="51.75" customHeight="1" s="186">
      <c r="A40" s="6" t="n">
        <v>2</v>
      </c>
      <c r="B40" s="6" t="inlineStr">
        <is>
          <t>Ex.10.2 s.2.1</t>
        </is>
      </c>
      <c r="C40" s="22" t="inlineStr">
        <is>
          <t>(b)Anything herein or in the Credit Agreement to the contrary notwithstanding, as of any date of determination the maximum liability of the Guarantor hereunder shall in no event exceed the amount that is the lesser of (i) the outstanding Guaranteed Obligations as of such date of determination and (ii) the maximum liability which can be guaranteed by the Guarantor under the Bankruptcy Code or any applicable federal and state requirements of Law relating to fraudulent conveyances, fraudulent transfers or the insolvency of debtors.</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10" defaultColWidth="8.83203125" defaultRowHeight="15"/>
  <cols>
    <col width="46" customWidth="1" style="186" min="1" max="1"/>
    <col width="22" customWidth="1" style="186" min="2" max="3"/>
    <col width="26" customWidth="1" style="186" min="4" max="4"/>
    <col width="22" customWidth="1" style="186" min="5" max="5"/>
    <col width="12" customWidth="1" style="186" min="6" max="8"/>
  </cols>
  <sheetData>
    <row r="1" ht="16.5" customHeight="1" s="186">
      <c r="A1" s="52" t="inlineStr">
        <is>
          <t>Company guidance and capex definition - Q2 2026 earnings materials (2026-08-11)</t>
        </is>
      </c>
    </row>
    <row r="2">
      <c r="A2" s="28" t="inlineStr">
        <is>
          <t>Word for word from the company's IR website (investors.coreweave.com &gt; Financials &gt; Quarterly Results). Guidance is forward-looking and not in the 10-Q. Anything published after 2026-08-13 (e.g., Q3'26 results) is excluded.</t>
        </is>
      </c>
    </row>
    <row r="4">
      <c r="A4" s="49" t="inlineStr">
        <is>
          <t>A. Q3 and FY 2026 Outlook Presentation, slide 3 'Guidance'</t>
        </is>
      </c>
      <c r="B4" s="53" t="n"/>
      <c r="C4" s="53" t="n"/>
      <c r="D4" s="53" t="n"/>
      <c r="E4" s="53" t="n"/>
      <c r="F4" s="53" t="n"/>
      <c r="G4" s="53" t="n"/>
    </row>
    <row r="5">
      <c r="A5" s="45" t="inlineStr">
        <is>
          <t>https://s205.q4cdn.com/133937190/files/doc_financials/2026/q2/CoreWeave-Q2-26-Earnings-Outlook-Presentation.pdf</t>
        </is>
      </c>
    </row>
    <row r="6">
      <c r="A6" s="54" t="inlineStr">
        <is>
          <t>Q3'26 Guidance</t>
        </is>
      </c>
      <c r="B6" s="191" t="n"/>
      <c r="D6" s="54" t="inlineStr">
        <is>
          <t>FY'26 Guidance</t>
        </is>
      </c>
      <c r="E6" s="191" t="n"/>
    </row>
    <row r="7">
      <c r="A7" s="43" t="inlineStr">
        <is>
          <t>Revenue</t>
        </is>
      </c>
      <c r="B7" s="56" t="inlineStr">
        <is>
          <t>$3.45 – 3.60 billion</t>
        </is>
      </c>
      <c r="D7" s="43" t="inlineStr">
        <is>
          <t>Revenue</t>
        </is>
      </c>
      <c r="E7" s="56" t="inlineStr">
        <is>
          <t>$12.4 – 13.2 billion</t>
        </is>
      </c>
    </row>
    <row r="8">
      <c r="A8" s="43" t="inlineStr">
        <is>
          <t>Adjusted Operating Income</t>
        </is>
      </c>
      <c r="B8" s="56" t="inlineStr">
        <is>
          <t>$200 – 260 million</t>
        </is>
      </c>
      <c r="D8" s="43" t="inlineStr">
        <is>
          <t>Adjusted Operating Income</t>
        </is>
      </c>
      <c r="E8" s="56" t="inlineStr">
        <is>
          <t>$960 – 1,150 million</t>
        </is>
      </c>
    </row>
    <row r="9">
      <c r="A9" s="43" t="inlineStr">
        <is>
          <t>Interest Expense</t>
        </is>
      </c>
      <c r="B9" s="56" t="inlineStr">
        <is>
          <t>$860 – 940 million</t>
        </is>
      </c>
      <c r="D9" s="43" t="inlineStr">
        <is>
          <t>Capital Expenditures</t>
        </is>
      </c>
      <c r="E9" s="56" t="inlineStr">
        <is>
          <t>$35 – 39 billion</t>
        </is>
      </c>
    </row>
    <row r="10">
      <c r="A10" s="43" t="inlineStr">
        <is>
          <t>Capital Expenditures</t>
        </is>
      </c>
      <c r="B10" s="56" t="inlineStr">
        <is>
          <t>$11.5 – 13.5 billion</t>
        </is>
      </c>
      <c r="D10" s="43" t="inlineStr">
        <is>
          <t>Exiting 2026 ARR 1</t>
        </is>
      </c>
      <c r="E10" s="56" t="inlineStr">
        <is>
          <t>$18.5 – 19.5 billion</t>
        </is>
      </c>
    </row>
    <row r="11">
      <c r="A11" s="45" t="inlineStr">
        <is>
          <t>Note: 1. Annualized run-rate revenue (ARR) is calculated by taking revenue from the last month of the quarter multiplied by 12</t>
        </is>
      </c>
    </row>
    <row r="13">
      <c r="A13" s="49" t="inlineStr">
        <is>
          <t>B. Q2'26 Earnings Presentation - slide 16 'Capital Expenditures Calculation' (in millions)</t>
        </is>
      </c>
      <c r="B13" s="53" t="n"/>
      <c r="C13" s="53" t="n"/>
      <c r="D13" s="53" t="n"/>
      <c r="E13" s="53" t="n"/>
      <c r="F13" s="53" t="n"/>
      <c r="G13" s="53" t="n"/>
    </row>
    <row r="14">
      <c r="A14" s="45" t="inlineStr">
        <is>
          <t>https://s205.q4cdn.com/133937190/files/doc_financials/2026/q2/CoreWeave-Q2-26-Earnings-Presentation.pdf</t>
        </is>
      </c>
    </row>
    <row r="15" ht="26.5" customHeight="1" s="186">
      <c r="A15" s="54" t="n"/>
      <c r="B15" s="191" t="inlineStr">
        <is>
          <t>Three Months Ended June 30,</t>
        </is>
      </c>
      <c r="C15" s="191" t="n"/>
      <c r="D15" s="191" t="inlineStr">
        <is>
          <t>Six Months Ended June 30,</t>
        </is>
      </c>
      <c r="E15" s="191" t="n"/>
    </row>
    <row r="16">
      <c r="A16" s="54" t="n"/>
      <c r="B16" s="191" t="n">
        <v>2025</v>
      </c>
      <c r="C16" s="191" t="n">
        <v>2026</v>
      </c>
      <c r="D16" s="191" t="n">
        <v>2025</v>
      </c>
      <c r="E16" s="191" t="n">
        <v>2026</v>
      </c>
    </row>
    <row r="17">
      <c r="A17" s="43" t="inlineStr">
        <is>
          <t>Increase in total gross property and equipment</t>
        </is>
      </c>
      <c r="B17" s="57" t="n">
        <v>2975</v>
      </c>
      <c r="C17" s="57" t="n">
        <v>11689</v>
      </c>
      <c r="D17" s="57" t="n">
        <v>5705</v>
      </c>
      <c r="E17" s="57" t="n">
        <v>18681</v>
      </c>
    </row>
    <row r="18">
      <c r="A18" s="43" t="inlineStr">
        <is>
          <t>Less: Change in construction in progress</t>
        </is>
      </c>
      <c r="B18" s="57" t="n">
        <v>37</v>
      </c>
      <c r="C18" s="57" t="n">
        <v>2337</v>
      </c>
      <c r="D18" s="57" t="n">
        <v>910</v>
      </c>
      <c r="E18" s="57" t="n">
        <v>2542</v>
      </c>
    </row>
    <row r="19">
      <c r="A19" s="41" t="inlineStr">
        <is>
          <t>Capital expenditures 1</t>
        </is>
      </c>
      <c r="B19" s="57" t="n">
        <v>2938</v>
      </c>
      <c r="C19" s="57" t="n">
        <v>9352</v>
      </c>
      <c r="D19" s="57" t="n">
        <v>4795</v>
      </c>
      <c r="E19" s="57" t="n">
        <v>16139</v>
      </c>
    </row>
    <row r="20">
      <c r="A20" s="58" t="inlineStr">
        <is>
          <t>Check: increase - change in CIP - capex (should be 0)</t>
        </is>
      </c>
      <c r="B20" s="59">
        <f>B17-B18-B19</f>
        <v/>
      </c>
      <c r="C20" s="59">
        <f>C17-C18-C19</f>
        <v/>
      </c>
      <c r="D20" s="59">
        <f>D17-D18-D19</f>
        <v/>
      </c>
      <c r="E20" s="59">
        <f>E17-E18-E19</f>
        <v/>
      </c>
    </row>
    <row r="21">
      <c r="A21" s="45" t="inlineStr">
        <is>
          <t>Note: 1. Capital expenditures are additions to property and equipment including assets acquired under finance leases, less changes in construction in progress</t>
        </is>
      </c>
    </row>
    <row r="23">
      <c r="A23" s="41" t="inlineStr">
        <is>
          <t>Slide 14 'Capital Expenditures' chart (Note: $ in billions)</t>
        </is>
      </c>
    </row>
    <row r="24">
      <c r="A24" s="54" t="n"/>
      <c r="B24" s="191" t="inlineStr">
        <is>
          <t>Q2'25</t>
        </is>
      </c>
      <c r="C24" s="191" t="inlineStr">
        <is>
          <t>Q3'25</t>
        </is>
      </c>
      <c r="D24" s="191" t="inlineStr">
        <is>
          <t>Q4'25</t>
        </is>
      </c>
      <c r="E24" s="191" t="inlineStr">
        <is>
          <t>Q1'26</t>
        </is>
      </c>
      <c r="F24" s="191" t="inlineStr">
        <is>
          <t>Q2'26</t>
        </is>
      </c>
    </row>
    <row r="25">
      <c r="A25" s="43" t="inlineStr">
        <is>
          <t>Capital Expenditures 1</t>
        </is>
      </c>
      <c r="B25" s="60" t="n">
        <v>2.9</v>
      </c>
      <c r="C25" s="60" t="n">
        <v>1.9</v>
      </c>
      <c r="D25" s="60" t="n">
        <v>8.199999999999999</v>
      </c>
      <c r="E25" s="60" t="n">
        <v>6.8</v>
      </c>
      <c r="F25" s="60" t="n">
        <v>9.4</v>
      </c>
    </row>
    <row r="26">
      <c r="A26" s="45" t="inlineStr">
        <is>
          <t>Slide title: 'Capital Expenditures: $9.4 billion as we continued to execute on schedule'</t>
        </is>
      </c>
    </row>
    <row r="27">
      <c r="A27" s="45" t="inlineStr">
        <is>
          <t>Note: 1. Capital expenditures are additions to property and equipment including assets acquired under finance leases, less changes in construction in progress</t>
        </is>
      </c>
    </row>
    <row r="28">
      <c r="A28" s="45" t="inlineStr">
        <is>
          <t>Slide 8 'Q2'26 Highlights', note 3 (worded slightly differently): 3. Capital expenditures are additions to property and equipment plus assets acquired under finance leases, less changes to construction in progress</t>
        </is>
      </c>
    </row>
    <row r="30">
      <c r="A30" s="49" t="inlineStr">
        <is>
          <t>C. Q2 2026 earnings call, 2026-08-11 - key points (paraphrased; the transcript is FactSet copyright, see link)</t>
        </is>
      </c>
      <c r="B30" s="53" t="n"/>
      <c r="C30" s="53" t="n"/>
      <c r="D30" s="53" t="n"/>
      <c r="E30" s="53" t="n"/>
      <c r="F30" s="53" t="n"/>
      <c r="G30" s="53" t="n"/>
    </row>
    <row r="31">
      <c r="A31" s="45" t="inlineStr">
        <is>
          <t>https://s205.q4cdn.com/133937190/files/doc_financials/2026/q2/CRWV-US-CORRECTED-TRANSCRIPT-CoreWeave-Q2-2026-Earnings-Call-11August2026.pdf</t>
        </is>
      </c>
    </row>
    <row r="32">
      <c r="A32" s="54" t="inlineStr">
        <is>
          <t>¶</t>
        </is>
      </c>
      <c r="B32" s="191" t="inlineStr">
        <is>
          <t>Speaker</t>
        </is>
      </c>
      <c r="C32" s="191" t="inlineStr">
        <is>
          <t>Key points (paraphrased, figures as stated on the call)</t>
        </is>
      </c>
    </row>
    <row r="33" ht="52" customHeight="1" s="186">
      <c r="A33" s="61" t="n">
        <v>1</v>
      </c>
      <c r="B33" s="39" t="inlineStr">
        <is>
          <t>Nitin Agrawal, CFO (prepared remarks)</t>
        </is>
      </c>
      <c r="C33" s="190" t="inlineStr">
        <is>
          <t>Q2 capex was $9.4bn, slightly above the high end of guidance; construction in progress rose to $11.9bn from $9.6bn, capacity expected to be deployed early in Q3.</t>
        </is>
      </c>
    </row>
    <row r="34" ht="52" customHeight="1" s="186">
      <c r="A34" s="61" t="n">
        <v>2</v>
      </c>
      <c r="B34" s="39" t="inlineStr">
        <is>
          <t>Nitin Agrawal, CFO (prepared remarks)</t>
        </is>
      </c>
      <c r="C34" s="190" t="inlineStr">
        <is>
          <t>At June 30 the company had more than $6.9bn of cash, cash equivalents, restricted cash and marketable securities; it raised about $18bn across debt, convertibles and equity in Q2.</t>
        </is>
      </c>
    </row>
    <row r="35" ht="65" customHeight="1" s="186">
      <c r="A35" s="61" t="n">
        <v>3</v>
      </c>
      <c r="B35" s="39" t="inlineStr">
        <is>
          <t>Nitin Agrawal, CFO (prepared remarks)</t>
        </is>
      </c>
      <c r="C35" s="190" t="inlineStr">
        <is>
          <t>Year-end active power now expected above 1.85 GW (previously above 1.7 GW); Q3 revenue guided to $3.45-3.6bn and Q3 adjusted operating income to $200-260m.</t>
        </is>
      </c>
    </row>
    <row r="36" ht="39" customHeight="1" s="186">
      <c r="A36" s="61" t="n">
        <v>4</v>
      </c>
      <c r="B36" s="39" t="inlineStr">
        <is>
          <t>Nitin Agrawal, CFO (prepared remarks)</t>
        </is>
      </c>
      <c r="C36" s="190" t="inlineStr">
        <is>
          <t>Q3 interest expense guided to $860-940m, reflecting a larger debt balance; Q3 capex guided to $11.5-13.5bn.</t>
        </is>
      </c>
    </row>
    <row r="37" ht="78" customHeight="1" s="186">
      <c r="A37" s="61" t="n">
        <v>5</v>
      </c>
      <c r="B37" s="39" t="inlineStr">
        <is>
          <t>Nitin Agrawal, CFO (prepared remarks)</t>
        </is>
      </c>
      <c r="C37" s="190" t="inlineStr">
        <is>
          <t>FY26 guidance raised: revenue $12.4-13.2bn, adjusted operating income $0.96-1.15bn, capex $35-39bn, exiting-2026 ARR $18.5-19.5bn.</t>
        </is>
      </c>
    </row>
    <row r="38" ht="52" customHeight="1" s="186">
      <c r="A38" s="61" t="n">
        <v>6</v>
      </c>
      <c r="B38" s="39" t="inlineStr">
        <is>
          <t>Irvin Liu, Evercore ISI (Q&amp;A question)</t>
        </is>
      </c>
      <c r="C38" s="190" t="inlineStr">
        <is>
          <t>Analyst question referenced a target of more than 3 GW of active power by end-2027 and 8 GW by 2030.</t>
        </is>
      </c>
    </row>
    <row r="39" ht="65" customHeight="1" s="186">
      <c r="A39" s="61" t="n">
        <v>7</v>
      </c>
      <c r="B39" s="39" t="inlineStr">
        <is>
          <t>Nitin Agrawal, CFO (Q&amp;A answer)</t>
        </is>
      </c>
      <c r="C39" s="190" t="inlineStr">
        <is>
          <t>CFO: 4.2 GW contracted today plus ~1.5 GW of powered land/options; on track for more than 8 GW of active power by end-2030.</t>
        </is>
      </c>
    </row>
    <row r="40">
      <c r="A40" s="45" t="inlineStr">
        <is>
          <t>Paraphrased from the corrected transcript linked above; see the original for exact wording.</t>
        </is>
      </c>
    </row>
  </sheetData>
  <mergeCells count="8">
    <mergeCell ref="C33:H33"/>
    <mergeCell ref="C32:H32"/>
    <mergeCell ref="C38:H38"/>
    <mergeCell ref="C36:H36"/>
    <mergeCell ref="C37:H37"/>
    <mergeCell ref="C39:H39"/>
    <mergeCell ref="C35:H35"/>
    <mergeCell ref="C34:H3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8"/>
  <sheetViews>
    <sheetView showGridLines="0" zoomScaleNormal="100" workbookViewId="0">
      <selection activeCell="A1" sqref="A1"/>
    </sheetView>
  </sheetViews>
  <sheetFormatPr baseColWidth="10" defaultColWidth="8.6640625" defaultRowHeight="15"/>
  <cols>
    <col width="72" customWidth="1" style="186" min="1" max="1"/>
    <col width="13" customWidth="1" style="186" min="2" max="3"/>
    <col width="12" customWidth="1" style="186" min="4" max="4"/>
    <col width="80" customWidth="1" style="186" min="5" max="5"/>
  </cols>
  <sheetData>
    <row r="1" ht="16.5" customHeight="1" s="186">
      <c r="A1" s="5" t="inlineStr">
        <is>
          <t>Cross-document checks (ours) - the same number should match across filings</t>
        </is>
      </c>
    </row>
    <row r="2">
      <c r="A2" s="6" t="inlineStr">
        <is>
          <t>Green = link to another tab. Difference column should be 0; where it is not, the Comment explains why.</t>
        </is>
      </c>
    </row>
    <row r="4">
      <c r="A4" s="8" t="inlineStr">
        <is>
          <t>Check</t>
        </is>
      </c>
      <c r="B4" s="8" t="inlineStr">
        <is>
          <t>Value A</t>
        </is>
      </c>
      <c r="C4" s="8" t="inlineStr">
        <is>
          <t>Value B</t>
        </is>
      </c>
      <c r="D4" s="8" t="inlineStr">
        <is>
          <t>Difference</t>
        </is>
      </c>
      <c r="E4" s="8" t="inlineStr">
        <is>
          <t>Comment</t>
        </is>
      </c>
    </row>
    <row r="5">
      <c r="A5" s="11" t="inlineStr">
        <is>
          <t>Total assets Dec-25: 10-Q comparative vs 10-K</t>
        </is>
      </c>
      <c r="B5" s="27">
        <f>'10Q_BS'!C20</f>
        <v/>
      </c>
      <c r="C5" s="27">
        <f>'10K_BS'!C21</f>
        <v/>
      </c>
      <c r="D5" s="15">
        <f>B5-C5</f>
        <v/>
      </c>
      <c r="E5" s="6" t="n"/>
    </row>
    <row r="6">
      <c r="A6" s="11" t="inlineStr">
        <is>
          <t>Debt, current Dec-25: 10-Q (recourse + non-recourse) vs 10-K (one line)</t>
        </is>
      </c>
      <c r="B6" s="27">
        <f>'10Q_BS'!C24+'10Q_BS'!C25</f>
        <v/>
      </c>
      <c r="C6" s="27">
        <f>'10K_BS'!C25</f>
        <v/>
      </c>
      <c r="D6" s="15">
        <f>B6-C6</f>
        <v/>
      </c>
      <c r="E6" s="6" t="inlineStr">
        <is>
          <t>10-K showed one 'Debt' line; the 10-Q re-presents Dec-25 split into recourse / non-recourse</t>
        </is>
      </c>
    </row>
    <row r="7">
      <c r="A7" s="11" t="inlineStr">
        <is>
          <t>Debt, non-current Dec-25: 10-Q split vs 10-K</t>
        </is>
      </c>
      <c r="B7" s="27">
        <f>'10Q_BS'!C31+'10Q_BS'!C32</f>
        <v/>
      </c>
      <c r="C7" s="27">
        <f>'10K_BS'!C31</f>
        <v/>
      </c>
      <c r="D7" s="15">
        <f>B7-C7</f>
        <v/>
      </c>
      <c r="E7" s="6" t="n"/>
    </row>
    <row r="8">
      <c r="A8" s="11" t="inlineStr">
        <is>
          <t>Other non-current liabilities Dec-25: 10-Q vs 10-K (other + derivative/warrant)</t>
        </is>
      </c>
      <c r="B8" s="27">
        <f>'10Q_BS'!C37</f>
        <v/>
      </c>
      <c r="C8" s="27">
        <f>'10K_BS'!C37+'10K_BS'!C32</f>
        <v/>
      </c>
      <c r="D8" s="15">
        <f>B8-C8</f>
        <v/>
      </c>
      <c r="E8" s="6" t="inlineStr">
        <is>
          <t>10-Q folds the 10-K's 'Derivative and warrant liabilities' line into 'Other'</t>
        </is>
      </c>
    </row>
    <row r="9">
      <c r="A9" s="11" t="inlineStr">
        <is>
          <t>Total equity Dec-25: 10-Q vs 10-K</t>
        </is>
      </c>
      <c r="B9" s="27">
        <f>'10Q_BS'!C46</f>
        <v/>
      </c>
      <c r="C9" s="27">
        <f>'10K_BS'!C45</f>
        <v/>
      </c>
      <c r="D9" s="15">
        <f>B9-C9</f>
        <v/>
      </c>
      <c r="E9" s="6" t="n"/>
    </row>
    <row r="10">
      <c r="A10" s="11" t="inlineStr">
        <is>
          <t>Cash end of 6M26 (CF, thousands /1000) vs BS cash + restricted</t>
        </is>
      </c>
      <c r="B10" s="27">
        <f>'10Q_CF'!B47/1000</f>
        <v/>
      </c>
      <c r="C10" s="27">
        <f>'10Q_BS'!B8+'10Q_BS'!B9+'10Q_BS'!B14</f>
        <v/>
      </c>
      <c r="D10" s="15">
        <f>B10-C10</f>
        <v/>
      </c>
      <c r="E10" s="6" t="inlineStr">
        <is>
          <t>R page CF is in thousands</t>
        </is>
      </c>
    </row>
    <row r="11">
      <c r="A11" s="11" t="inlineStr">
        <is>
          <t>Net loss 6M26: 10-Q CF (/1000) vs 10-Q IS</t>
        </is>
      </c>
      <c r="B11" s="27">
        <f>'10Q_CF'!B9/1000</f>
        <v/>
      </c>
      <c r="C11" s="27">
        <f>'10Q_IS'!D22</f>
        <v/>
      </c>
      <c r="D11" s="15">
        <f>B11-C11</f>
        <v/>
      </c>
      <c r="E11" s="6" t="n"/>
    </row>
    <row r="12">
      <c r="A12" s="11" t="inlineStr">
        <is>
          <t>Net loss Q2-26: press release vs 10-Q IS</t>
        </is>
      </c>
      <c r="B12" s="27">
        <f>'PR_Q2-26'!B9</f>
        <v/>
      </c>
      <c r="C12" s="27">
        <f>'10Q_IS'!B22</f>
        <v/>
      </c>
      <c r="D12" s="15">
        <f>B12-C12</f>
        <v/>
      </c>
      <c r="E12" s="6" t="n"/>
    </row>
    <row r="13">
      <c r="A13" s="11" t="inlineStr">
        <is>
          <t>Operating income 6M26: press release vs 10-Q IS</t>
        </is>
      </c>
      <c r="B13" s="27">
        <f>'PR_Q2-26'!D27</f>
        <v/>
      </c>
      <c r="C13" s="27">
        <f>'10Q_IS'!D16</f>
        <v/>
      </c>
      <c r="D13" s="15">
        <f>B13-C13</f>
        <v/>
      </c>
      <c r="E13" s="6" t="n"/>
    </row>
    <row r="14">
      <c r="A14" s="11" t="inlineStr">
        <is>
          <t>Interest expense 6M26: press release (add-back) vs 10-Q IS</t>
        </is>
      </c>
      <c r="B14" s="27">
        <f>'PR_Q2-26'!D11</f>
        <v/>
      </c>
      <c r="C14" s="29">
        <f>-'10Q_IS'!D18</f>
        <v/>
      </c>
      <c r="D14" s="15">
        <f>B14-C14</f>
        <v/>
      </c>
      <c r="E14" s="6" t="inlineStr">
        <is>
          <t>Sign flips: IS shows expense as negative; reconciliation adds it back</t>
        </is>
      </c>
    </row>
    <row r="15">
      <c r="A15" s="11" t="inlineStr">
        <is>
          <t>D&amp;A 6M26: press release vs 10-Q CF (/1000)</t>
        </is>
      </c>
      <c r="B15" s="27">
        <f>'PR_Q2-26'!D10</f>
        <v/>
      </c>
      <c r="C15" s="27">
        <f>'10Q_CF'!B11/1000</f>
        <v/>
      </c>
      <c r="D15" s="15">
        <f>B15-C15</f>
        <v/>
      </c>
      <c r="E15" s="6" t="n"/>
    </row>
    <row r="16">
      <c r="A16" s="11" t="inlineStr">
        <is>
          <t>Net loss FY25: Q4 release vs 10-K IS</t>
        </is>
      </c>
      <c r="B16" s="27">
        <f>'PR_Q4-25'!D9</f>
        <v/>
      </c>
      <c r="C16" s="27">
        <f>'10K_IS'!C22</f>
        <v/>
      </c>
      <c r="D16" s="15">
        <f>B16-C16</f>
        <v/>
      </c>
      <c r="E16" s="6" t="n"/>
    </row>
    <row r="17">
      <c r="A17" s="11" t="inlineStr">
        <is>
          <t>Other income FY24: Q4 release EBITDA table vs 10-K IS</t>
        </is>
      </c>
      <c r="B17" s="27">
        <f>-'PR_Q4-25'!E15</f>
        <v/>
      </c>
      <c r="C17" s="27">
        <f>'10K_IS'!D19</f>
        <v/>
      </c>
      <c r="D17" s="15">
        <f>B17-C17</f>
        <v/>
      </c>
      <c r="E17" s="6" t="inlineStr">
        <is>
          <t>Release subtracts 48; IS shows 49 - a 1mm inconsistency in the company's own tables</t>
        </is>
      </c>
    </row>
    <row r="18">
      <c r="A18" s="11" t="inlineStr">
        <is>
          <t>SBC FY24: EBITDA table vs Adj. operating income table</t>
        </is>
      </c>
      <c r="B18" s="27">
        <f>'PR_Q4-25'!E12</f>
        <v/>
      </c>
      <c r="C18" s="27">
        <f>'PR_Q4-25'!E28</f>
        <v/>
      </c>
      <c r="D18" s="15">
        <f>B18-C18</f>
        <v/>
      </c>
      <c r="E18" s="6" t="inlineStr">
        <is>
          <t>31 vs 32 in the same release</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X62"/>
  <sheetViews>
    <sheetView showGridLines="0" workbookViewId="0">
      <pane xSplit="1" ySplit="1" topLeftCell="B2" activePane="bottomRight" state="frozen"/>
      <selection pane="topRight" activeCell="A1" sqref="A1"/>
      <selection pane="bottomLeft" activeCell="A1" sqref="A1"/>
      <selection pane="bottomRight" activeCell="W2" sqref="W2"/>
    </sheetView>
  </sheetViews>
  <sheetFormatPr baseColWidth="10" defaultColWidth="8.83203125" defaultRowHeight="15"/>
  <cols>
    <col width="30" customWidth="1" style="186" min="1" max="1"/>
    <col width="14" customWidth="1" style="186" min="2" max="3"/>
    <col width="26" customWidth="1" style="186" min="4" max="4"/>
    <col width="13" customWidth="1" style="186" min="5" max="5"/>
    <col width="12" customWidth="1" style="186" min="6" max="6"/>
    <col width="14" customWidth="1" style="186" min="7" max="7"/>
    <col width="12" customWidth="1" style="186" min="8" max="13"/>
    <col width="26" customWidth="1" style="186" min="14" max="14"/>
    <col width="10" customWidth="1" style="186" min="15" max="15"/>
    <col width="11" customWidth="1" style="186" min="16" max="16"/>
    <col width="12" customWidth="1" style="186" min="17" max="17"/>
    <col width="36" customWidth="1" style="186" min="18" max="18"/>
    <col width="60" customWidth="1" style="186" min="19" max="19"/>
    <col width="12" customWidth="1" style="186" min="20" max="20"/>
    <col width="13" customWidth="1" style="186" min="21" max="21"/>
    <col width="12" customWidth="1" style="186" min="22" max="22"/>
    <col width="23.5" customWidth="1" style="186" min="23" max="23"/>
    <col width="14" customWidth="1" style="186" min="24" max="24"/>
  </cols>
  <sheetData>
    <row r="1" ht="41" customHeight="1" s="186">
      <c r="A1" s="30" t="inlineStr">
        <is>
          <t>Instrument</t>
        </is>
      </c>
      <c r="B1" s="31" t="inlineStr">
        <is>
          <t>Type</t>
        </is>
      </c>
      <c r="C1" s="31" t="inlineStr">
        <is>
          <t>Status</t>
        </is>
      </c>
      <c r="D1" s="31" t="inlineStr">
        <is>
          <t>Borrower Entity</t>
        </is>
      </c>
      <c r="E1" s="31" t="inlineStr">
        <is>
          <t>Recourse</t>
        </is>
      </c>
      <c r="F1" s="31" t="inlineStr">
        <is>
          <t>Secured</t>
        </is>
      </c>
      <c r="G1" s="31" t="inlineStr">
        <is>
          <t>Parent Guarantee</t>
        </is>
      </c>
      <c r="H1" s="31" t="inlineStr">
        <is>
          <t>Commitment ($mm)</t>
        </is>
      </c>
      <c r="I1" s="31" t="inlineStr">
        <is>
          <t>Principal 6/30 ($mm)</t>
        </is>
      </c>
      <c r="J1" s="31" t="inlineStr">
        <is>
          <t>Subsequent Draws ($mm)</t>
        </is>
      </c>
      <c r="K1" s="31" t="inlineStr">
        <is>
          <t>Pro Forma Principal ($mm)</t>
        </is>
      </c>
      <c r="L1" s="31" t="inlineStr">
        <is>
          <t>Undrawn 8/13 ($mm)</t>
        </is>
      </c>
      <c r="M1" s="31" t="inlineStr">
        <is>
          <t>Fixed/Floating</t>
        </is>
      </c>
      <c r="N1" s="31" t="inlineStr">
        <is>
          <t>Coupon/Spread</t>
        </is>
      </c>
      <c r="O1" s="31" t="inlineStr">
        <is>
          <t>Effective Rate</t>
        </is>
      </c>
      <c r="P1" s="31" t="inlineStr">
        <is>
          <t>Maturity</t>
        </is>
      </c>
      <c r="Q1" s="31" t="inlineStr">
        <is>
          <t>Amortizing/Bullet</t>
        </is>
      </c>
      <c r="R1" s="31" t="inlineStr">
        <is>
          <t>Collateral/Backing</t>
        </is>
      </c>
      <c r="S1" s="31" t="inlineStr">
        <is>
          <t>Source</t>
        </is>
      </c>
      <c r="T1" s="31" t="inlineStr">
        <is>
          <t>Draw Period End</t>
        </is>
      </c>
      <c r="U1" s="31" t="inlineStr">
        <is>
          <t>Availability Reductions ($mm)</t>
        </is>
      </c>
      <c r="V1" s="31" t="inlineStr">
        <is>
          <t>Undrawn 6/30 ($mm)</t>
        </is>
      </c>
      <c r="W1" s="63" t="inlineStr">
        <is>
          <t>Annual Interest @ Effective Rate ($mm)</t>
        </is>
      </c>
      <c r="X1" s="63" t="inlineStr">
        <is>
          <t>Maturity Year</t>
        </is>
      </c>
    </row>
    <row r="2" ht="64" customHeight="1" s="186">
      <c r="A2" s="190" t="inlineStr">
        <is>
          <t>DDTL 1.0 Facility</t>
        </is>
      </c>
      <c r="B2" s="33" t="inlineStr">
        <is>
          <t>DDTL</t>
        </is>
      </c>
      <c r="C2" s="33" t="inlineStr">
        <is>
          <t>Reported 6/30</t>
        </is>
      </c>
      <c r="D2" s="190" t="inlineStr">
        <is>
          <t>Subsidiary (not named in filings used)</t>
        </is>
      </c>
      <c r="E2" s="33" t="inlineStr">
        <is>
          <t>Recourse</t>
        </is>
      </c>
      <c r="F2" s="33" t="inlineStr">
        <is>
          <t>Secured</t>
        </is>
      </c>
      <c r="G2" s="33" t="inlineStr">
        <is>
          <t>Full</t>
        </is>
      </c>
      <c r="H2" s="34" t="n">
        <v>2300</v>
      </c>
      <c r="I2" s="35">
        <f>'10Q_Debt'!D9</f>
        <v/>
      </c>
      <c r="J2" s="34" t="n">
        <v>0</v>
      </c>
      <c r="K2" s="36">
        <f>I2+J2</f>
        <v/>
      </c>
      <c r="L2" s="36">
        <f>IF(ISNUMBER(T2),IF(T2&gt;=$B$24,H2-K2-U2,0),0)</f>
        <v/>
      </c>
      <c r="M2" s="33" t="inlineStr">
        <is>
          <t>Floating</t>
        </is>
      </c>
      <c r="N2" s="190" t="inlineStr">
        <is>
          <t>SOFR or ABR + spread (spread not disclosed)</t>
        </is>
      </c>
      <c r="O2" s="37">
        <f>'10Q_Debt'!C9</f>
        <v/>
      </c>
      <c r="P2" s="38" t="n">
        <v>46840</v>
      </c>
      <c r="Q2" s="33" t="inlineStr">
        <is>
          <t>Amortizing</t>
        </is>
      </c>
      <c r="R2" s="190" t="inlineStr">
        <is>
          <t>Subsidiary equity + substantially all subsidiary assets (GPU servers); related customer contracts (10Q ¶30)</t>
        </is>
      </c>
      <c r="S2" s="39" t="inlineStr">
        <is>
          <t>Q2'26 10-Q, Note 10, p.27 (T1 r9). FY25 10-K, Note 10: ¶12 (up to $2.3bn; quarterly installments; final payment 3/28/2028), ¶16 (security), ¶18 (unconditional parent guarantee), ¶9 (SOFR/ABR + spread). Draw period ended (amortizing).</t>
        </is>
      </c>
      <c r="T2" s="38" t="inlineStr">
        <is>
          <t>Closed</t>
        </is>
      </c>
      <c r="U2" s="34" t="n">
        <v>0</v>
      </c>
      <c r="V2" s="36">
        <f>IF(C2="Subsequent event",0,IF(ISNUMBER(T2),IF(T2&gt;=$B$25,H2-I2-U2,0),0))</f>
        <v/>
      </c>
      <c r="W2" s="64">
        <f>K2*O2</f>
        <v/>
      </c>
      <c r="X2" s="139">
        <f>YEAR(P2)</f>
        <v/>
      </c>
    </row>
    <row r="3" ht="64" customHeight="1" s="186">
      <c r="A3" s="190" t="inlineStr">
        <is>
          <t>DDTL 2.0 Facility</t>
        </is>
      </c>
      <c r="B3" s="33" t="inlineStr">
        <is>
          <t>DDTL</t>
        </is>
      </c>
      <c r="C3" s="33" t="inlineStr">
        <is>
          <t>Reported 6/30</t>
        </is>
      </c>
      <c r="D3" s="190" t="inlineStr">
        <is>
          <t>Subsidiary (not named in filings used)</t>
        </is>
      </c>
      <c r="E3" s="33" t="inlineStr">
        <is>
          <t>Recourse</t>
        </is>
      </c>
      <c r="F3" s="33" t="inlineStr">
        <is>
          <t>Secured</t>
        </is>
      </c>
      <c r="G3" s="33" t="inlineStr">
        <is>
          <t>Full</t>
        </is>
      </c>
      <c r="H3" s="34" t="n">
        <v>7600</v>
      </c>
      <c r="I3" s="35">
        <f>'10Q_Debt'!D10</f>
        <v/>
      </c>
      <c r="J3" s="34" t="n">
        <v>0</v>
      </c>
      <c r="K3" s="36">
        <f>I3+J3</f>
        <v/>
      </c>
      <c r="L3" s="36">
        <f>IF(ISNUMBER(T3),IF(T3&gt;=$B$24,H3-K3-U3,0),0)</f>
        <v/>
      </c>
      <c r="M3" s="33" t="inlineStr">
        <is>
          <t>Floating</t>
        </is>
      </c>
      <c r="N3" s="190" t="inlineStr">
        <is>
          <t>SOFR or ABR + spread (spread not disclosed)</t>
        </is>
      </c>
      <c r="O3" s="37">
        <f>'10Q_Debt'!C10</f>
        <v/>
      </c>
      <c r="P3" s="38" t="n">
        <v>47726</v>
      </c>
      <c r="Q3" s="33" t="inlineStr">
        <is>
          <t>Amortizing</t>
        </is>
      </c>
      <c r="R3" s="190" t="inlineStr">
        <is>
          <t>Subsidiary equity + substantially all subsidiary assets (GPU servers); related customer contracts (10Q ¶30)</t>
        </is>
      </c>
      <c r="S3" s="39" t="inlineStr">
        <is>
          <t>Q2'26 10-Q, Note 10, p.27 (T1 r10). FY25 10-K, Note 10: ¶13 (up to $7.6bn; quarterly from Jan 2026; final payment 5 yrs after each loan funded), ¶16, ¶18. Draw period not stated; balance amortizing (5,037 -&gt; 3,190), treated as closed.</t>
        </is>
      </c>
      <c r="T3" s="38" t="inlineStr">
        <is>
          <t>Closed</t>
        </is>
      </c>
      <c r="U3" s="34" t="n">
        <v>0</v>
      </c>
      <c r="V3" s="36">
        <f>IF(C3="Subsequent event",0,IF(ISNUMBER(T3),IF(T3&gt;=$B$25,H3-I3-U3,0),0))</f>
        <v/>
      </c>
      <c r="W3" s="64">
        <f>K3*O3</f>
        <v/>
      </c>
      <c r="X3" s="139">
        <f>YEAR(P3)</f>
        <v/>
      </c>
    </row>
    <row r="4" ht="64" customHeight="1" s="186">
      <c r="A4" s="190" t="inlineStr">
        <is>
          <t>DDTL 2.1 Facility</t>
        </is>
      </c>
      <c r="B4" s="33" t="inlineStr">
        <is>
          <t>DDTL</t>
        </is>
      </c>
      <c r="C4" s="33" t="inlineStr">
        <is>
          <t>Reported 6/30</t>
        </is>
      </c>
      <c r="D4" s="190" t="inlineStr">
        <is>
          <t>Same subsidiary as DDTL 2.0 (new tranche)</t>
        </is>
      </c>
      <c r="E4" s="33" t="inlineStr">
        <is>
          <t>Recourse</t>
        </is>
      </c>
      <c r="F4" s="33" t="inlineStr">
        <is>
          <t>Secured</t>
        </is>
      </c>
      <c r="G4" s="33" t="inlineStr">
        <is>
          <t>Full</t>
        </is>
      </c>
      <c r="H4" s="34" t="n">
        <v>3000</v>
      </c>
      <c r="I4" s="35">
        <f>'10Q_Debt'!D11</f>
        <v/>
      </c>
      <c r="J4" s="34" t="n">
        <v>0</v>
      </c>
      <c r="K4" s="36">
        <f>I4+J4</f>
        <v/>
      </c>
      <c r="L4" s="36">
        <f>IF(ISNUMBER(T4),IF(T4&gt;=$B$24,H4-K4-U4,0),0)</f>
        <v/>
      </c>
      <c r="M4" s="33" t="inlineStr">
        <is>
          <t>Floating</t>
        </is>
      </c>
      <c r="N4" s="190" t="inlineStr">
        <is>
          <t>SOFR or ABR + spread (spread not disclosed)</t>
        </is>
      </c>
      <c r="O4" s="37">
        <f>'10Q_Debt'!C11</f>
        <v/>
      </c>
      <c r="P4" s="38" t="n">
        <v>47938</v>
      </c>
      <c r="Q4" s="33" t="inlineStr">
        <is>
          <t>Amortizing</t>
        </is>
      </c>
      <c r="R4" s="190" t="inlineStr">
        <is>
          <t>Subsidiary equity + substantially all subsidiary assets (GPU servers); related customer contracts (10Q ¶30)</t>
        </is>
      </c>
      <c r="S4" s="39" t="inlineStr">
        <is>
          <t>Q2'26 10-Q, Note 10, p.27 (T1 r11). FY25 10-K, Note 10: ¶15 (tranche up to $3.0bn added to DDTL 2.0, drawable through Mar 2026; quarterly from Jul 2026; final 5 yrs after funding), ¶16, ¶18.</t>
        </is>
      </c>
      <c r="T4" s="38" t="n">
        <v>46112</v>
      </c>
      <c r="U4" s="34" t="n">
        <v>0</v>
      </c>
      <c r="V4" s="36">
        <f>IF(C4="Subsequent event",0,IF(ISNUMBER(T4),IF(T4&gt;=$B$25,H4-I4-U4,0),0))</f>
        <v/>
      </c>
      <c r="W4" s="64">
        <f>K4*O4</f>
        <v/>
      </c>
      <c r="X4" s="139">
        <f>YEAR(P4)</f>
        <v/>
      </c>
    </row>
    <row r="5" ht="64" customHeight="1" s="186">
      <c r="A5" s="190" t="inlineStr">
        <is>
          <t>DDTL 3.0 Facility</t>
        </is>
      </c>
      <c r="B5" s="33" t="inlineStr">
        <is>
          <t>DDTL</t>
        </is>
      </c>
      <c r="C5" s="33" t="inlineStr">
        <is>
          <t>Reported 6/30</t>
        </is>
      </c>
      <c r="D5" s="190" t="inlineStr">
        <is>
          <t>Subsidiary (not named in filings used)</t>
        </is>
      </c>
      <c r="E5" s="33" t="inlineStr">
        <is>
          <t>Recourse</t>
        </is>
      </c>
      <c r="F5" s="33" t="inlineStr">
        <is>
          <t>Secured</t>
        </is>
      </c>
      <c r="G5" s="33" t="inlineStr">
        <is>
          <t>Full</t>
        </is>
      </c>
      <c r="H5" s="34" t="n">
        <v>2600</v>
      </c>
      <c r="I5" s="35">
        <f>'10Q_Debt'!D12</f>
        <v/>
      </c>
      <c r="J5" s="34" t="n">
        <v>0</v>
      </c>
      <c r="K5" s="36">
        <f>I5+J5</f>
        <v/>
      </c>
      <c r="L5" s="36">
        <f>IF(ISNUMBER(T5),IF(T5&gt;=$B$24,H5-K5-U5,0),0)</f>
        <v/>
      </c>
      <c r="M5" s="33" t="inlineStr">
        <is>
          <t>Floating</t>
        </is>
      </c>
      <c r="N5" s="190" t="inlineStr">
        <is>
          <t>SOFR or ABR + spread (spread not disclosed); &gt;=75% swapped</t>
        </is>
      </c>
      <c r="O5" s="37">
        <f>'10Q_Debt'!C12</f>
        <v/>
      </c>
      <c r="P5" s="38" t="n">
        <v>47726</v>
      </c>
      <c r="Q5" s="33" t="inlineStr">
        <is>
          <t>Amortizing</t>
        </is>
      </c>
      <c r="R5" s="190" t="inlineStr">
        <is>
          <t>Subsidiary equity + substantially all subsidiary assets (GPU servers); related customer contracts (10Q ¶30)</t>
        </is>
      </c>
      <c r="S5" s="39" t="inlineStr">
        <is>
          <t>Q2'26 10-Q, Note 10, p.27 (T1 r12). FY25 10-K, Note 10: ¶14 (up to $2.6bn, drawable through Jul 2026; monthly from Apr 2026; final Aug 2030; swaps &gt;=75%), ¶16, ¶18. Available at 6/30, closed by 8/13.</t>
        </is>
      </c>
      <c r="T5" s="38" t="n">
        <v>46234</v>
      </c>
      <c r="U5" s="34" t="n">
        <v>0</v>
      </c>
      <c r="V5" s="36">
        <f>IF(C5="Subsequent event",0,IF(ISNUMBER(T5),IF(T5&gt;=$B$25,H5-I5-U5,0),0))</f>
        <v/>
      </c>
      <c r="W5" s="64">
        <f>K5*O5</f>
        <v/>
      </c>
      <c r="X5" s="139">
        <f>YEAR(P5)</f>
        <v/>
      </c>
    </row>
    <row r="6" ht="64" customHeight="1" s="186">
      <c r="A6" s="190" t="inlineStr">
        <is>
          <t>DDTL 5.0 Facility</t>
        </is>
      </c>
      <c r="B6" s="33" t="inlineStr">
        <is>
          <t>DDTL</t>
        </is>
      </c>
      <c r="C6" s="33" t="inlineStr">
        <is>
          <t>Reported 6/30</t>
        </is>
      </c>
      <c r="D6" s="190" t="inlineStr">
        <is>
          <t>CoreWeave Financing DDTL V, LLC (CFD V)</t>
        </is>
      </c>
      <c r="E6" s="33" t="inlineStr">
        <is>
          <t>Recourse</t>
        </is>
      </c>
      <c r="F6" s="33" t="inlineStr">
        <is>
          <t>Secured</t>
        </is>
      </c>
      <c r="G6" s="33" t="inlineStr">
        <is>
          <t>Full</t>
        </is>
      </c>
      <c r="H6" s="35">
        <f>'10Q_Debt'!D41</f>
        <v/>
      </c>
      <c r="I6" s="35">
        <f>'10Q_Debt'!D13</f>
        <v/>
      </c>
      <c r="J6" s="34" t="n">
        <v>0</v>
      </c>
      <c r="K6" s="36">
        <f>I6+J6</f>
        <v/>
      </c>
      <c r="L6" s="36">
        <f>IF(ISNUMBER(T6),IF(T6&gt;=$B$24,H6-K6-U6,0),0)</f>
        <v/>
      </c>
      <c r="M6" s="33" t="inlineStr">
        <is>
          <t>Floating</t>
        </is>
      </c>
      <c r="N6" s="190" t="inlineStr">
        <is>
          <t>SOFR + 4.50%</t>
        </is>
      </c>
      <c r="O6" s="37">
        <f>'10Q_Debt'!C13</f>
        <v/>
      </c>
      <c r="P6" s="38" t="n">
        <v>48182</v>
      </c>
      <c r="Q6" s="33" t="inlineStr">
        <is>
          <t>Amortizing</t>
        </is>
      </c>
      <c r="R6" s="190" t="inlineStr">
        <is>
          <t>Subsidiary equity + substantially all subsidiary assets (GPU servers); related customer contracts (10Q ¶30)</t>
        </is>
      </c>
      <c r="S6" s="39" t="inlineStr">
        <is>
          <t>Q2'26 10-Q, Note 10, pp.27-30 (T1 r13, T2 r41); ¶24 (borrower, $3.1bn, draw to 9/30/26, monthly from Nov 2026), ¶25 (security), ¶27 (parent guarantee), ¶30. Maturity per T1 = Nov 2031; ¶24 says expected final payment May 2031 (inconsistent). No post-6/30 draws disclosed.</t>
        </is>
      </c>
      <c r="T6" s="38" t="n">
        <v>46295</v>
      </c>
      <c r="U6" s="34" t="n">
        <v>0</v>
      </c>
      <c r="V6" s="36">
        <f>IF(C6="Subsequent event",0,IF(ISNUMBER(T6),IF(T6&gt;=$B$25,H6-I6-U6,0),0))</f>
        <v/>
      </c>
      <c r="W6" s="64">
        <f>K6*O6</f>
        <v/>
      </c>
      <c r="X6" s="139">
        <f>YEAR(P6)</f>
        <v/>
      </c>
    </row>
    <row r="7" ht="64" customHeight="1" s="186">
      <c r="A7" s="190" t="inlineStr">
        <is>
          <t>2030 Senior Notes</t>
        </is>
      </c>
      <c r="B7" s="33" t="inlineStr">
        <is>
          <t>Senior Notes</t>
        </is>
      </c>
      <c r="C7" s="33" t="inlineStr">
        <is>
          <t>Reported 6/30</t>
        </is>
      </c>
      <c r="D7" s="190" t="inlineStr">
        <is>
          <t>CoreWeave, Inc. (Parent)</t>
        </is>
      </c>
      <c r="E7" s="33" t="inlineStr">
        <is>
          <t>Recourse</t>
        </is>
      </c>
      <c r="F7" s="33" t="inlineStr">
        <is>
          <t>Unsecured</t>
        </is>
      </c>
      <c r="G7" s="33" t="inlineStr">
        <is>
          <t>N/A</t>
        </is>
      </c>
      <c r="H7" s="35">
        <f>'10Q_Debt'!D14</f>
        <v/>
      </c>
      <c r="I7" s="35">
        <f>'10Q_Debt'!D14</f>
        <v/>
      </c>
      <c r="J7" s="34" t="n">
        <v>0</v>
      </c>
      <c r="K7" s="36">
        <f>I7+J7</f>
        <v/>
      </c>
      <c r="L7" s="36">
        <f>IF(ISNUMBER(T7),IF(T7&gt;=$B$24,H7-K7-U7,0),0)</f>
        <v/>
      </c>
      <c r="M7" s="33" t="inlineStr">
        <is>
          <t>Fixed</t>
        </is>
      </c>
      <c r="N7" s="190" t="inlineStr">
        <is>
          <t>Not stated in filings used (effective ~10%)</t>
        </is>
      </c>
      <c r="O7" s="37">
        <f>'10Q_Debt'!C14</f>
        <v/>
      </c>
      <c r="P7" s="38" t="n">
        <v>47635</v>
      </c>
      <c r="Q7" s="33" t="inlineStr">
        <is>
          <t>Bullet</t>
        </is>
      </c>
      <c r="R7" s="190" t="inlineStr">
        <is>
          <t>None - general corporate credit</t>
        </is>
      </c>
      <c r="S7" s="39" t="inlineStr">
        <is>
          <t>Q2'26 10-Q, Note 10, p.27 (T1 r14). FY25 10-K, Note 10: ¶21 ($2.0bn issued May 2025, due 6/1/2030), ¶23 (unsecured; semi-annual interest). Coupon not stated in the 10-K/10-Q text.</t>
        </is>
      </c>
      <c r="T7" s="38" t="inlineStr">
        <is>
          <t>n/a</t>
        </is>
      </c>
      <c r="U7" s="34" t="n">
        <v>0</v>
      </c>
      <c r="V7" s="36">
        <f>IF(C7="Subsequent event",0,IF(ISNUMBER(T7),IF(T7&gt;=$B$25,H7-I7-U7,0),0))</f>
        <v/>
      </c>
      <c r="W7" s="64">
        <f>K7*O7</f>
        <v/>
      </c>
      <c r="X7" s="139">
        <f>YEAR(P7)</f>
        <v/>
      </c>
    </row>
    <row r="8" ht="64" customHeight="1" s="186">
      <c r="A8" s="190" t="inlineStr">
        <is>
          <t>2031 9.00% Senior Notes</t>
        </is>
      </c>
      <c r="B8" s="33" t="inlineStr">
        <is>
          <t>Senior Notes</t>
        </is>
      </c>
      <c r="C8" s="33" t="inlineStr">
        <is>
          <t>Reported 6/30</t>
        </is>
      </c>
      <c r="D8" s="190" t="inlineStr">
        <is>
          <t>CoreWeave, Inc. (Parent)</t>
        </is>
      </c>
      <c r="E8" s="33" t="inlineStr">
        <is>
          <t>Recourse</t>
        </is>
      </c>
      <c r="F8" s="33" t="inlineStr">
        <is>
          <t>Unsecured</t>
        </is>
      </c>
      <c r="G8" s="33" t="inlineStr">
        <is>
          <t>N/A</t>
        </is>
      </c>
      <c r="H8" s="35">
        <f>'10Q_Debt'!D15</f>
        <v/>
      </c>
      <c r="I8" s="35">
        <f>'10Q_Debt'!D15</f>
        <v/>
      </c>
      <c r="J8" s="34" t="n">
        <v>0</v>
      </c>
      <c r="K8" s="36">
        <f>I8+J8</f>
        <v/>
      </c>
      <c r="L8" s="36">
        <f>IF(ISNUMBER(T8),IF(T8&gt;=$B$24,H8-K8-U8,0),0)</f>
        <v/>
      </c>
      <c r="M8" s="33" t="inlineStr">
        <is>
          <t>Fixed</t>
        </is>
      </c>
      <c r="N8" s="190" t="inlineStr">
        <is>
          <t>9.00%</t>
        </is>
      </c>
      <c r="O8" s="37">
        <f>'10Q_Debt'!C15</f>
        <v/>
      </c>
      <c r="P8" s="38" t="n">
        <v>47880</v>
      </c>
      <c r="Q8" s="33" t="inlineStr">
        <is>
          <t>Bullet</t>
        </is>
      </c>
      <c r="R8" s="190" t="inlineStr">
        <is>
          <t>None - general corporate credit</t>
        </is>
      </c>
      <c r="S8" s="39" t="inlineStr">
        <is>
          <t>Q2'26 10-Q, Note 10, p.27 (T1 r15). FY25 10-K, Note 10: ¶22 (issued Jul 2025, due 2/1/2031; text '$1.8bn' is rounded, table 1,750), ¶23 (unsecured).</t>
        </is>
      </c>
      <c r="T8" s="38" t="inlineStr">
        <is>
          <t>n/a</t>
        </is>
      </c>
      <c r="U8" s="34" t="n">
        <v>0</v>
      </c>
      <c r="V8" s="36">
        <f>IF(C8="Subsequent event",0,IF(ISNUMBER(T8),IF(T8&gt;=$B$25,H8-I8-U8,0),0))</f>
        <v/>
      </c>
      <c r="W8" s="64">
        <f>K8*O8</f>
        <v/>
      </c>
      <c r="X8" s="139">
        <f>YEAR(P8)</f>
        <v/>
      </c>
    </row>
    <row r="9" ht="64" customHeight="1" s="186">
      <c r="A9" s="190" t="inlineStr">
        <is>
          <t>2031 9.75% Senior Notes</t>
        </is>
      </c>
      <c r="B9" s="33" t="inlineStr">
        <is>
          <t>Senior Notes</t>
        </is>
      </c>
      <c r="C9" s="33" t="inlineStr">
        <is>
          <t>Reported 6/30</t>
        </is>
      </c>
      <c r="D9" s="190" t="inlineStr">
        <is>
          <t>CoreWeave, Inc. (Parent)</t>
        </is>
      </c>
      <c r="E9" s="33" t="inlineStr">
        <is>
          <t>Recourse</t>
        </is>
      </c>
      <c r="F9" s="33" t="inlineStr">
        <is>
          <t>Unsecured</t>
        </is>
      </c>
      <c r="G9" s="33" t="inlineStr">
        <is>
          <t>N/A</t>
        </is>
      </c>
      <c r="H9" s="35">
        <f>'10Q_Debt'!D42</f>
        <v/>
      </c>
      <c r="I9" s="35">
        <f>'10Q_Debt'!D16</f>
        <v/>
      </c>
      <c r="J9" s="34" t="n">
        <v>0</v>
      </c>
      <c r="K9" s="36">
        <f>I9+J9</f>
        <v/>
      </c>
      <c r="L9" s="36">
        <f>IF(ISNUMBER(T9),IF(T9&gt;=$B$24,H9-K9-U9,0),0)</f>
        <v/>
      </c>
      <c r="M9" s="33" t="inlineStr">
        <is>
          <t>Fixed</t>
        </is>
      </c>
      <c r="N9" s="190" t="inlineStr">
        <is>
          <t>9.75%</t>
        </is>
      </c>
      <c r="O9" s="37">
        <f>'10Q_Debt'!C16</f>
        <v/>
      </c>
      <c r="P9" s="38" t="n">
        <v>48122</v>
      </c>
      <c r="Q9" s="33" t="inlineStr">
        <is>
          <t>Bullet</t>
        </is>
      </c>
      <c r="R9" s="190" t="inlineStr">
        <is>
          <t>None - general corporate credit</t>
        </is>
      </c>
      <c r="S9" s="39" t="inlineStr">
        <is>
          <t>Q2'26 10-Q, Note 10, pp.27-28, 31-32 (T1 r16, T2 r42); ¶48 (issued Apr 2026, due 10/1/2031; text '$2.8bn' rounded), ¶51 (unsecured; semi-annual interest).</t>
        </is>
      </c>
      <c r="T9" s="38" t="inlineStr">
        <is>
          <t>n/a</t>
        </is>
      </c>
      <c r="U9" s="34" t="n">
        <v>0</v>
      </c>
      <c r="V9" s="36">
        <f>IF(C9="Subsequent event",0,IF(ISNUMBER(T9),IF(T9&gt;=$B$25,H9-I9-U9,0),0))</f>
        <v/>
      </c>
      <c r="W9" s="64">
        <f>K9*O9</f>
        <v/>
      </c>
      <c r="X9" s="139">
        <f>YEAR(P9)</f>
        <v/>
      </c>
    </row>
    <row r="10" ht="64" customHeight="1" s="186">
      <c r="A10" s="190" t="inlineStr">
        <is>
          <t>2032 9.625% Senior Notes</t>
        </is>
      </c>
      <c r="B10" s="33" t="inlineStr">
        <is>
          <t>Senior Notes</t>
        </is>
      </c>
      <c r="C10" s="33" t="inlineStr">
        <is>
          <t>Reported 6/30</t>
        </is>
      </c>
      <c r="D10" s="190" t="inlineStr">
        <is>
          <t>CoreWeave, Inc. (Parent)</t>
        </is>
      </c>
      <c r="E10" s="33" t="inlineStr">
        <is>
          <t>Recourse</t>
        </is>
      </c>
      <c r="F10" s="33" t="inlineStr">
        <is>
          <t>Unsecured</t>
        </is>
      </c>
      <c r="G10" s="33" t="inlineStr">
        <is>
          <t>N/A</t>
        </is>
      </c>
      <c r="H10" s="35">
        <f>'10Q_Debt'!D43</f>
        <v/>
      </c>
      <c r="I10" s="35">
        <f>'10Q_Debt'!D17</f>
        <v/>
      </c>
      <c r="J10" s="34" t="n">
        <v>0</v>
      </c>
      <c r="K10" s="36">
        <f>I10+J10</f>
        <v/>
      </c>
      <c r="L10" s="36">
        <f>IF(ISNUMBER(T10),IF(T10&gt;=$B$24,H10-K10-U10,0),0)</f>
        <v/>
      </c>
      <c r="M10" s="33" t="inlineStr">
        <is>
          <t>Fixed</t>
        </is>
      </c>
      <c r="N10" s="190" t="inlineStr">
        <is>
          <t>9.625%</t>
        </is>
      </c>
      <c r="O10" s="37">
        <f>'10Q_Debt'!C17</f>
        <v/>
      </c>
      <c r="P10" s="38" t="n">
        <v>48410</v>
      </c>
      <c r="Q10" s="33" t="inlineStr">
        <is>
          <t>Bullet</t>
        </is>
      </c>
      <c r="R10" s="190" t="inlineStr">
        <is>
          <t>None - general corporate credit</t>
        </is>
      </c>
      <c r="S10" s="39" t="inlineStr">
        <is>
          <t>Q2'26 10-Q, Note 10, pp.27-28, 31-32 (T1 r17, T2 r43); ¶49 (issued Jun 2026, due 7/15/2032), ¶51 (unsecured).</t>
        </is>
      </c>
      <c r="T10" s="38" t="inlineStr">
        <is>
          <t>n/a</t>
        </is>
      </c>
      <c r="U10" s="34" t="n">
        <v>0</v>
      </c>
      <c r="V10" s="36">
        <f>IF(C10="Subsequent event",0,IF(ISNUMBER(T10),IF(T10&gt;=$B$25,H10-I10-U10,0),0))</f>
        <v/>
      </c>
      <c r="W10" s="64">
        <f>K10*O10</f>
        <v/>
      </c>
      <c r="X10" s="139">
        <f>YEAR(P10)</f>
        <v/>
      </c>
    </row>
    <row r="11" ht="64" customHeight="1" s="186">
      <c r="A11" s="190" t="inlineStr">
        <is>
          <t>2032 EUR Senior Notes</t>
        </is>
      </c>
      <c r="B11" s="33" t="inlineStr">
        <is>
          <t>Senior Notes</t>
        </is>
      </c>
      <c r="C11" s="33" t="inlineStr">
        <is>
          <t>Reported 6/30</t>
        </is>
      </c>
      <c r="D11" s="190" t="inlineStr">
        <is>
          <t>CoreWeave, Inc. (Parent)</t>
        </is>
      </c>
      <c r="E11" s="33" t="inlineStr">
        <is>
          <t>Recourse</t>
        </is>
      </c>
      <c r="F11" s="33" t="inlineStr">
        <is>
          <t>Unsecured</t>
        </is>
      </c>
      <c r="G11" s="33" t="inlineStr">
        <is>
          <t>N/A</t>
        </is>
      </c>
      <c r="H11" s="35">
        <f>'10Q_Debt'!D18</f>
        <v/>
      </c>
      <c r="I11" s="35">
        <f>'10Q_Debt'!D18</f>
        <v/>
      </c>
      <c r="J11" s="34" t="n">
        <v>0</v>
      </c>
      <c r="K11" s="36">
        <f>I11+J11</f>
        <v/>
      </c>
      <c r="L11" s="36">
        <f>IF(ISNUMBER(T11),IF(T11&gt;=$B$24,H11-K11-U11,0),0)</f>
        <v/>
      </c>
      <c r="M11" s="33" t="inlineStr">
        <is>
          <t>Fixed</t>
        </is>
      </c>
      <c r="N11" s="190" t="inlineStr">
        <is>
          <t>8.50% (EUR); cross-currency swapped</t>
        </is>
      </c>
      <c r="O11" s="37">
        <f>'10Q_Debt'!C18</f>
        <v/>
      </c>
      <c r="P11" s="38" t="n">
        <v>48410</v>
      </c>
      <c r="Q11" s="33" t="inlineStr">
        <is>
          <t>Bullet</t>
        </is>
      </c>
      <c r="R11" s="190" t="inlineStr">
        <is>
          <t>None - general corporate credit</t>
        </is>
      </c>
      <c r="S11" s="39" t="inlineStr">
        <is>
          <t>Q2'26 10-Q, Note 10, pp.27-28, 31-32 (T1 r18 = USD 2,279 at 6/30; T2 r44 = EUR 2,000 principal); ¶50 (due 7/15/2032), ¶51 (unsecured); T1 footnote (1) (cross-currency swaps, fair value hedge). Commitment shown in USD = principal.</t>
        </is>
      </c>
      <c r="T11" s="38" t="inlineStr">
        <is>
          <t>n/a</t>
        </is>
      </c>
      <c r="U11" s="34" t="n">
        <v>0</v>
      </c>
      <c r="V11" s="36">
        <f>IF(C11="Subsequent event",0,IF(ISNUMBER(T11),IF(T11&gt;=$B$25,H11-I11-U11,0),0))</f>
        <v/>
      </c>
      <c r="W11" s="64">
        <f>K11*O11</f>
        <v/>
      </c>
      <c r="X11" s="139">
        <f>YEAR(P11)</f>
        <v/>
      </c>
    </row>
    <row r="12" ht="64" customHeight="1" s="186">
      <c r="A12" s="190" t="inlineStr">
        <is>
          <t>2031 Convertible Senior Notes</t>
        </is>
      </c>
      <c r="B12" s="33" t="inlineStr">
        <is>
          <t>Convertible</t>
        </is>
      </c>
      <c r="C12" s="33" t="inlineStr">
        <is>
          <t>Reported 6/30</t>
        </is>
      </c>
      <c r="D12" s="190" t="inlineStr">
        <is>
          <t>CoreWeave, Inc. (Parent)</t>
        </is>
      </c>
      <c r="E12" s="33" t="inlineStr">
        <is>
          <t>Recourse</t>
        </is>
      </c>
      <c r="F12" s="33" t="inlineStr">
        <is>
          <t>Unsecured</t>
        </is>
      </c>
      <c r="G12" s="33" t="inlineStr">
        <is>
          <t>N/A</t>
        </is>
      </c>
      <c r="H12" s="35">
        <f>'10Q_Debt'!D19</f>
        <v/>
      </c>
      <c r="I12" s="35">
        <f>'10Q_Debt'!D19</f>
        <v/>
      </c>
      <c r="J12" s="34" t="n">
        <v>0</v>
      </c>
      <c r="K12" s="36">
        <f>I12+J12</f>
        <v/>
      </c>
      <c r="L12" s="36">
        <f>IF(ISNUMBER(T12),IF(T12&gt;=$B$24,H12-K12-U12,0),0)</f>
        <v/>
      </c>
      <c r="M12" s="33" t="inlineStr">
        <is>
          <t>Fixed</t>
        </is>
      </c>
      <c r="N12" s="190" t="inlineStr">
        <is>
          <t>Not stated in filings used (effective ~2%)</t>
        </is>
      </c>
      <c r="O12" s="37">
        <f>'10Q_Debt'!C19</f>
        <v/>
      </c>
      <c r="P12" s="38" t="n">
        <v>48183</v>
      </c>
      <c r="Q12" s="33" t="inlineStr">
        <is>
          <t>Bullet</t>
        </is>
      </c>
      <c r="R12" s="190" t="inlineStr">
        <is>
          <t>None - general corporate credit; conversion price ~$107.80</t>
        </is>
      </c>
      <c r="S12" s="39" t="inlineStr">
        <is>
          <t>Q2'26 10-Q, Note 10, p.27 (T1 r19). FY25 10-K, Note 10: ¶26 (issued Dec 2025, due 12/1/2031; text '$2.6bn' rounded), ¶27 (conversion ~$107.80), ¶30 (unsecured). Coupon not stated in the text.</t>
        </is>
      </c>
      <c r="T12" s="38" t="inlineStr">
        <is>
          <t>n/a</t>
        </is>
      </c>
      <c r="U12" s="34" t="n">
        <v>0</v>
      </c>
      <c r="V12" s="36">
        <f>IF(C12="Subsequent event",0,IF(ISNUMBER(T12),IF(T12&gt;=$B$25,H12-I12-U12,0),0))</f>
        <v/>
      </c>
      <c r="W12" s="64">
        <f>K12*O12</f>
        <v/>
      </c>
      <c r="X12" s="139">
        <f>YEAR(P12)</f>
        <v/>
      </c>
    </row>
    <row r="13" ht="64" customHeight="1" s="186">
      <c r="A13" s="190" t="inlineStr">
        <is>
          <t>2032 Convertible Senior Notes</t>
        </is>
      </c>
      <c r="B13" s="33" t="inlineStr">
        <is>
          <t>Convertible</t>
        </is>
      </c>
      <c r="C13" s="33" t="inlineStr">
        <is>
          <t>Reported 6/30</t>
        </is>
      </c>
      <c r="D13" s="190" t="inlineStr">
        <is>
          <t>CoreWeave, Inc. (Parent)</t>
        </is>
      </c>
      <c r="E13" s="33" t="inlineStr">
        <is>
          <t>Recourse</t>
        </is>
      </c>
      <c r="F13" s="33" t="inlineStr">
        <is>
          <t>Unsecured</t>
        </is>
      </c>
      <c r="G13" s="33" t="inlineStr">
        <is>
          <t>N/A</t>
        </is>
      </c>
      <c r="H13" s="35">
        <f>'10Q_Debt'!D45</f>
        <v/>
      </c>
      <c r="I13" s="35">
        <f>'10Q_Debt'!D20</f>
        <v/>
      </c>
      <c r="J13" s="34" t="n">
        <v>0</v>
      </c>
      <c r="K13" s="36">
        <f>I13+J13</f>
        <v/>
      </c>
      <c r="L13" s="36">
        <f>IF(ISNUMBER(T13),IF(T13&gt;=$B$24,H13-K13-U13,0),0)</f>
        <v/>
      </c>
      <c r="M13" s="33" t="inlineStr">
        <is>
          <t>Fixed</t>
        </is>
      </c>
      <c r="N13" s="190" t="inlineStr">
        <is>
          <t>1.75%</t>
        </is>
      </c>
      <c r="O13" s="37">
        <f>'10Q_Debt'!C20</f>
        <v/>
      </c>
      <c r="P13" s="38" t="n">
        <v>48488</v>
      </c>
      <c r="Q13" s="33" t="inlineStr">
        <is>
          <t>Bullet</t>
        </is>
      </c>
      <c r="R13" s="190" t="inlineStr">
        <is>
          <t>None - general corporate credit; conversion price ~$119.60</t>
        </is>
      </c>
      <c r="S13" s="39" t="inlineStr">
        <is>
          <t>Q2'26 10-Q, Note 10, pp.27-28, 30-31 (T1 r20, T2 r45); ¶37 (issued Apr 2026, due 10/1/2032), ¶38 (conversion ~$119.60), ¶42 (unsecured).</t>
        </is>
      </c>
      <c r="T13" s="38" t="inlineStr">
        <is>
          <t>n/a</t>
        </is>
      </c>
      <c r="U13" s="34" t="n">
        <v>0</v>
      </c>
      <c r="V13" s="36">
        <f>IF(C13="Subsequent event",0,IF(ISNUMBER(T13),IF(T13&gt;=$B$25,H13-I13-U13,0),0))</f>
        <v/>
      </c>
      <c r="W13" s="64">
        <f>K13*O13</f>
        <v/>
      </c>
      <c r="X13" s="139">
        <f>YEAR(P13)</f>
        <v/>
      </c>
    </row>
    <row r="14" ht="64" customHeight="1" s="186">
      <c r="A14" s="190" t="inlineStr">
        <is>
          <t>Convertible Promissory Notes</t>
        </is>
      </c>
      <c r="B14" s="33" t="inlineStr">
        <is>
          <t>Other</t>
        </is>
      </c>
      <c r="C14" s="33" t="inlineStr">
        <is>
          <t>Reported 6/30</t>
        </is>
      </c>
      <c r="D14" s="190" t="inlineStr">
        <is>
          <t>CoreWeave, Inc. (Parent)</t>
        </is>
      </c>
      <c r="E14" s="33" t="inlineStr">
        <is>
          <t>Recourse</t>
        </is>
      </c>
      <c r="F14" s="33" t="inlineStr">
        <is>
          <t>Not disclosed</t>
        </is>
      </c>
      <c r="G14" s="33" t="inlineStr">
        <is>
          <t>N/A</t>
        </is>
      </c>
      <c r="H14" s="34" t="n">
        <v>172</v>
      </c>
      <c r="I14" s="35">
        <f>'10Q_Debt'!D21</f>
        <v/>
      </c>
      <c r="J14" s="34" t="n">
        <v>0</v>
      </c>
      <c r="K14" s="36">
        <f>I14+J14</f>
        <v/>
      </c>
      <c r="L14" s="36">
        <f>IF(ISNUMBER(T14),IF(T14&gt;=$B$24,H14-K14-U14,0),0)</f>
        <v/>
      </c>
      <c r="M14" s="33" t="inlineStr">
        <is>
          <t>Fixed</t>
        </is>
      </c>
      <c r="N14" s="190" t="inlineStr">
        <is>
          <t>0% (non-interest-bearing; 7% imputed)</t>
        </is>
      </c>
      <c r="O14" s="37">
        <f>'10Q_Debt'!C21</f>
        <v/>
      </c>
      <c r="P14" s="38" t="n">
        <v>46142</v>
      </c>
      <c r="Q14" s="33" t="inlineStr">
        <is>
          <t>Bullet</t>
        </is>
      </c>
      <c r="R14" s="190" t="inlineStr">
        <is>
          <t>None - settled in Class A shares in Apr 2026</t>
        </is>
      </c>
      <c r="S14" s="39" t="inlineStr">
        <is>
          <t>Q2'26 10-Q, Note 10, pp.27, 32 (T1 r21 = 0 at 6/30); ¶56 (settled in shares Apr 2026). FY25 10-K, Note 10: ¶51 ($172mm principal, matures Apr 2026), ¶53 (7% imputed rate). Kept for 1:1 tie-out with T1.</t>
        </is>
      </c>
      <c r="T14" s="38" t="inlineStr">
        <is>
          <t>n/a</t>
        </is>
      </c>
      <c r="U14" s="34" t="n">
        <v>0</v>
      </c>
      <c r="V14" s="36">
        <f>IF(C14="Subsequent event",0,IF(ISNUMBER(T14),IF(T14&gt;=$B$25,H14-I14-U14,0),0))</f>
        <v/>
      </c>
      <c r="W14" s="64">
        <f>K14*O14</f>
        <v/>
      </c>
      <c r="X14" s="139">
        <f>YEAR(P14)</f>
        <v/>
      </c>
    </row>
    <row r="15" ht="64" customHeight="1" s="186">
      <c r="A15" s="190" t="inlineStr">
        <is>
          <t>Revolving Credit Facility</t>
        </is>
      </c>
      <c r="B15" s="33" t="inlineStr">
        <is>
          <t>Revolver</t>
        </is>
      </c>
      <c r="C15" s="33" t="inlineStr">
        <is>
          <t>Reported 6/30</t>
        </is>
      </c>
      <c r="D15" s="190" t="inlineStr">
        <is>
          <t>CoreWeave, Inc. (Parent)</t>
        </is>
      </c>
      <c r="E15" s="33" t="inlineStr">
        <is>
          <t>Recourse</t>
        </is>
      </c>
      <c r="F15" s="33" t="inlineStr">
        <is>
          <t>Secured</t>
        </is>
      </c>
      <c r="G15" s="33" t="inlineStr">
        <is>
          <t>N/A</t>
        </is>
      </c>
      <c r="H15" s="34" t="n">
        <v>2500</v>
      </c>
      <c r="I15" s="35">
        <f>'10Q_Debt'!D22</f>
        <v/>
      </c>
      <c r="J15" s="34" t="n">
        <v>1200</v>
      </c>
      <c r="K15" s="36">
        <f>I15+J15</f>
        <v/>
      </c>
      <c r="L15" s="36">
        <f>IF(ISNUMBER(T15),IF(T15&gt;=$B$24,H15-K15-U15,0),0)</f>
        <v/>
      </c>
      <c r="M15" s="33" t="inlineStr">
        <is>
          <t>Floating</t>
        </is>
      </c>
      <c r="N15" s="190" t="inlineStr">
        <is>
          <t>Spread not disclosed in filings used</t>
        </is>
      </c>
      <c r="O15" s="37">
        <f>'10Q_Debt'!C22</f>
        <v/>
      </c>
      <c r="P15" s="38" t="n">
        <v>47452</v>
      </c>
      <c r="Q15" s="33" t="inlineStr">
        <is>
          <t>Revolving</t>
        </is>
      </c>
      <c r="R15" s="190" t="inlineStr">
        <is>
          <t>Pledges of certain assets (not specified)</t>
        </is>
      </c>
      <c r="S15" s="39" t="inlineStr">
        <is>
          <t>Q2'26 10-Q, Note 10, pp.27, 30 (T1 r22); ¶32 (LCs $533mm reduce availability), ¶33 (repaid Apr 2026; $2.0bn available at 6/30; secured; 0.25% undrawn fee). FY25 10-K, Note 10: ¶39 ($2.5bn; matures Nov 2029). Subsequent: Note 16 ($1.2bn drawn Aug 2026). LCs assumed unchanged at 8/13.</t>
        </is>
      </c>
      <c r="T15" s="38" t="n">
        <v>47452</v>
      </c>
      <c r="U15" s="34" t="n">
        <v>533</v>
      </c>
      <c r="V15" s="36">
        <f>IF(C15="Subsequent event",0,IF(ISNUMBER(T15),IF(T15&gt;=$B$25,H15-I15-U15,0),0))</f>
        <v/>
      </c>
      <c r="W15" s="64">
        <f>K15*O15</f>
        <v/>
      </c>
      <c r="X15" s="139">
        <f>YEAR(P15)</f>
        <v/>
      </c>
    </row>
    <row r="16" ht="64" customHeight="1" s="186">
      <c r="A16" s="190" t="inlineStr">
        <is>
          <t>OEM and Software License Financing Arrangements (recourse)</t>
        </is>
      </c>
      <c r="B16" s="33" t="inlineStr">
        <is>
          <t>Vendor Financing</t>
        </is>
      </c>
      <c r="C16" s="33" t="inlineStr">
        <is>
          <t>Reported 6/30</t>
        </is>
      </c>
      <c r="D16" s="190" t="inlineStr">
        <is>
          <t>Not specified (Company)</t>
        </is>
      </c>
      <c r="E16" s="33" t="inlineStr">
        <is>
          <t>Recourse</t>
        </is>
      </c>
      <c r="F16" s="33" t="inlineStr">
        <is>
          <t>Secured</t>
        </is>
      </c>
      <c r="G16" s="33" t="inlineStr">
        <is>
          <t>Not disclosed</t>
        </is>
      </c>
      <c r="H16" s="35">
        <f>'10Q_Debt'!D23</f>
        <v/>
      </c>
      <c r="I16" s="35">
        <f>'10Q_Debt'!D23</f>
        <v/>
      </c>
      <c r="J16" s="34" t="n">
        <v>0</v>
      </c>
      <c r="K16" s="36">
        <f>I16+J16</f>
        <v/>
      </c>
      <c r="L16" s="36">
        <f>IF(ISNUMBER(T16),IF(T16&gt;=$B$24,H16-K16-U16,0),0)</f>
        <v/>
      </c>
      <c r="M16" s="33" t="inlineStr">
        <is>
          <t>Not disclosed</t>
        </is>
      </c>
      <c r="N16" s="190" t="inlineStr">
        <is>
          <t>Not disclosed</t>
        </is>
      </c>
      <c r="O16" s="37">
        <f>'10Q_Debt'!C23</f>
        <v/>
      </c>
      <c r="P16" s="38" t="n">
        <v>47695</v>
      </c>
      <c r="Q16" s="33" t="inlineStr">
        <is>
          <t>Not disclosed</t>
        </is>
      </c>
      <c r="R16" s="190" t="inlineStr">
        <is>
          <t>Financed equipment</t>
        </is>
      </c>
      <c r="S16" s="39" t="inlineStr">
        <is>
          <t>Q2'26 10-Q, Note 10, pp.27, 30 (T1 r23: maturities Dec 2026 - Jul 2030; latest used); ¶35 (OEM $4.8bn + software $347mm, recourse + non-recourse combined). FY25 10-K, Note 10: ¶42 (security interest in financed equipment; terms 1-3 yrs), ¶43-44 (optional $884mm software tranche not committed, not recognized).</t>
        </is>
      </c>
      <c r="T16" s="38" t="inlineStr">
        <is>
          <t>n/a</t>
        </is>
      </c>
      <c r="U16" s="34" t="n">
        <v>0</v>
      </c>
      <c r="V16" s="36">
        <f>IF(C16="Subsequent event",0,IF(ISNUMBER(T16),IF(T16&gt;=$B$25,H16-I16-U16,0),0))</f>
        <v/>
      </c>
      <c r="W16" s="64">
        <f>K16*O16</f>
        <v/>
      </c>
      <c r="X16" s="139">
        <f>YEAR(P16)</f>
        <v/>
      </c>
    </row>
    <row r="17" ht="64" customHeight="1" s="186">
      <c r="A17" s="190" t="inlineStr">
        <is>
          <t>Magnetar Loan</t>
        </is>
      </c>
      <c r="B17" s="33" t="inlineStr">
        <is>
          <t>Other</t>
        </is>
      </c>
      <c r="C17" s="33" t="inlineStr">
        <is>
          <t>Reported 6/30</t>
        </is>
      </c>
      <c r="D17" s="190" t="inlineStr">
        <is>
          <t>CoreWeave, Inc. (Parent)</t>
        </is>
      </c>
      <c r="E17" s="33" t="inlineStr">
        <is>
          <t>Recourse</t>
        </is>
      </c>
      <c r="F17" s="33" t="inlineStr">
        <is>
          <t>Not disclosed</t>
        </is>
      </c>
      <c r="G17" s="33" t="inlineStr">
        <is>
          <t>N/A</t>
        </is>
      </c>
      <c r="H17" s="35">
        <f>'10Q_Debt'!D24</f>
        <v/>
      </c>
      <c r="I17" s="35">
        <f>'10Q_Debt'!D24</f>
        <v/>
      </c>
      <c r="J17" s="34" t="n">
        <v>0</v>
      </c>
      <c r="K17" s="36">
        <f>I17+J17</f>
        <v/>
      </c>
      <c r="L17" s="36">
        <f>IF(ISNUMBER(T17),IF(T17&gt;=$B$24,H17-K17-U17,0),0)</f>
        <v/>
      </c>
      <c r="M17" s="33" t="inlineStr">
        <is>
          <t>Fixed</t>
        </is>
      </c>
      <c r="N17" s="190" t="inlineStr">
        <is>
          <t>12% annual return (redemption premium accretion)</t>
        </is>
      </c>
      <c r="O17" s="37">
        <f>'10Q_Debt'!C24</f>
        <v/>
      </c>
      <c r="P17" s="38" t="n">
        <v>47149</v>
      </c>
      <c r="Q17" s="33" t="inlineStr">
        <is>
          <t>Bullet</t>
        </is>
      </c>
      <c r="R17" s="190" t="inlineStr">
        <is>
          <t>None disclosed - refundable customer deposit treated as debt</t>
        </is>
      </c>
      <c r="S17" s="39" t="inlineStr">
        <is>
          <t>Q2'26 10-Q, Note 10, pp.27, 32 (T1 r24); ¶54 ($100mm partial settlement Jun 2026; $189mm remaining incl. accrued premium). FY25 10-K, Note 10: ¶46-49 ($230mm refundable deposit; in-substance debt; 12% annual return on refund).</t>
        </is>
      </c>
      <c r="T17" s="38" t="inlineStr">
        <is>
          <t>n/a</t>
        </is>
      </c>
      <c r="U17" s="34" t="n">
        <v>0</v>
      </c>
      <c r="V17" s="36">
        <f>IF(C17="Subsequent event",0,IF(ISNUMBER(T17),IF(T17&gt;=$B$25,H17-I17-U17,0),0))</f>
        <v/>
      </c>
      <c r="W17" s="64">
        <f>K17*O17</f>
        <v/>
      </c>
      <c r="X17" s="139">
        <f>YEAR(P17)</f>
        <v/>
      </c>
    </row>
    <row r="18" ht="64" customHeight="1" s="186">
      <c r="A18" s="190" t="inlineStr">
        <is>
          <t>DDTL 4.0 Facility</t>
        </is>
      </c>
      <c r="B18" s="33" t="inlineStr">
        <is>
          <t>DDTL</t>
        </is>
      </c>
      <c r="C18" s="33" t="inlineStr">
        <is>
          <t>Reported 6/30</t>
        </is>
      </c>
      <c r="D18" s="190" t="inlineStr">
        <is>
          <t>CoreWeave Compute Acquisition Co. VIII, LLC (CCAC VIII)</t>
        </is>
      </c>
      <c r="E18" s="33" t="inlineStr">
        <is>
          <t>Non-recourse</t>
        </is>
      </c>
      <c r="F18" s="33" t="inlineStr">
        <is>
          <t>Secured</t>
        </is>
      </c>
      <c r="G18" s="33" t="inlineStr">
        <is>
          <t>Carve-outs only</t>
        </is>
      </c>
      <c r="H18" s="35">
        <f>'10Q_Debt'!D40</f>
        <v/>
      </c>
      <c r="I18" s="35">
        <f>'10Q_Debt'!D30</f>
        <v/>
      </c>
      <c r="J18" s="34" t="n">
        <v>0</v>
      </c>
      <c r="K18" s="36">
        <f>I18+J18</f>
        <v/>
      </c>
      <c r="L18" s="36">
        <f>IF(ISNUMBER(T18),IF(T18&gt;=$B$24,H18-K18-U18,0),0)</f>
        <v/>
      </c>
      <c r="M18" s="33" t="inlineStr">
        <is>
          <t>Mixed</t>
        </is>
      </c>
      <c r="N18" s="190" t="inlineStr">
        <is>
          <t>SOFR + 2.25% ($1.4bn); Treasury + 2.00% fixed ($1.5bn)</t>
        </is>
      </c>
      <c r="O18" s="37">
        <f>'10Q_Debt'!C30</f>
        <v/>
      </c>
      <c r="P18" s="38" t="n">
        <v>48304</v>
      </c>
      <c r="Q18" s="33" t="inlineStr">
        <is>
          <t>Amortizing</t>
        </is>
      </c>
      <c r="R18" s="190" t="inlineStr">
        <is>
          <t>CCAC VIII equity + substantially all CCAC VIII assets (compute infrastructure; $3.3bn non-current + $155mm current at 6/30); related customer contracts (10Q ¶30)</t>
        </is>
      </c>
      <c r="S18" s="39" t="inlineStr">
        <is>
          <t>Q2'26 10-Q, Note 10, pp.27-29 (T1 r30, T2 r40); ¶16 (borrower, $8.5bn, draw to 6/30/27, floating/fixed split), ¶17 (monthly amortization; balance at maturity), ¶18 (use), ¶21 (security; non-recourse except carve-outs), ¶30. No post-6/30 draws disclosed.</t>
        </is>
      </c>
      <c r="T18" s="38" t="n">
        <v>46568</v>
      </c>
      <c r="U18" s="34" t="n">
        <v>0</v>
      </c>
      <c r="V18" s="36">
        <f>IF(C18="Subsequent event",0,IF(ISNUMBER(T18),IF(T18&gt;=$B$25,H18-I18-U18,0),0))</f>
        <v/>
      </c>
      <c r="W18" s="64">
        <f>K18*O18</f>
        <v/>
      </c>
      <c r="X18" s="139">
        <f>YEAR(P18)</f>
        <v/>
      </c>
    </row>
    <row r="19" ht="64" customHeight="1" s="186">
      <c r="A19" s="190" t="inlineStr">
        <is>
          <t>OEM and Software License Financing Arrangements (non-recourse)</t>
        </is>
      </c>
      <c r="B19" s="33" t="inlineStr">
        <is>
          <t>Vendor Financing</t>
        </is>
      </c>
      <c r="C19" s="33" t="inlineStr">
        <is>
          <t>Reported 6/30</t>
        </is>
      </c>
      <c r="D19" s="190" t="inlineStr">
        <is>
          <t>Not specified (subsidiary)</t>
        </is>
      </c>
      <c r="E19" s="33" t="inlineStr">
        <is>
          <t>Non-recourse</t>
        </is>
      </c>
      <c r="F19" s="33" t="inlineStr">
        <is>
          <t>Secured</t>
        </is>
      </c>
      <c r="G19" s="33" t="inlineStr">
        <is>
          <t>Carve-outs only</t>
        </is>
      </c>
      <c r="H19" s="35">
        <f>'10Q_Debt'!D31</f>
        <v/>
      </c>
      <c r="I19" s="35">
        <f>'10Q_Debt'!D31</f>
        <v/>
      </c>
      <c r="J19" s="34" t="n">
        <v>0</v>
      </c>
      <c r="K19" s="36">
        <f>I19+J19</f>
        <v/>
      </c>
      <c r="L19" s="36">
        <f>IF(ISNUMBER(T19),IF(T19&gt;=$B$24,H19-K19-U19,0),0)</f>
        <v/>
      </c>
      <c r="M19" s="33" t="inlineStr">
        <is>
          <t>Not disclosed</t>
        </is>
      </c>
      <c r="N19" s="190" t="inlineStr">
        <is>
          <t>Not disclosed</t>
        </is>
      </c>
      <c r="O19" s="37">
        <f>'10Q_Debt'!C31</f>
        <v/>
      </c>
      <c r="P19" s="38" t="n">
        <v>46996</v>
      </c>
      <c r="Q19" s="33" t="inlineStr">
        <is>
          <t>Not disclosed</t>
        </is>
      </c>
      <c r="R19" s="190" t="inlineStr">
        <is>
          <t>Financed equipment</t>
        </is>
      </c>
      <c r="S19" s="39" t="inlineStr">
        <is>
          <t>Q2'26 10-Q, Note 10, p.27 (T1 r31: maturities Aug 2026 - Aug 2028; latest used); ¶5 (non-recourse definition: carve-out guarantees only). FY25 10-K, Note 10: ¶42 (security interest in financed equipment).</t>
        </is>
      </c>
      <c r="T19" s="38" t="inlineStr">
        <is>
          <t>n/a</t>
        </is>
      </c>
      <c r="U19" s="34" t="n">
        <v>0</v>
      </c>
      <c r="V19" s="36">
        <f>IF(C19="Subsequent event",0,IF(ISNUMBER(T19),IF(T19&gt;=$B$25,H19-I19-U19,0),0))</f>
        <v/>
      </c>
      <c r="W19" s="64">
        <f>K19*O19</f>
        <v/>
      </c>
      <c r="X19" s="139">
        <f>YEAR(P19)</f>
        <v/>
      </c>
    </row>
    <row r="20" ht="64" customHeight="1" s="186">
      <c r="A20" s="190" t="inlineStr">
        <is>
          <t>DDTL 5.5 Facility</t>
        </is>
      </c>
      <c r="B20" s="33" t="inlineStr">
        <is>
          <t>DDTL</t>
        </is>
      </c>
      <c r="C20" s="33" t="inlineStr">
        <is>
          <t>Subsequent event</t>
        </is>
      </c>
      <c r="D20" s="190" t="inlineStr">
        <is>
          <t>CoreWeave Financing DDTL V-V, LLC</t>
        </is>
      </c>
      <c r="E20" s="33" t="inlineStr">
        <is>
          <t>Recourse</t>
        </is>
      </c>
      <c r="F20" s="33" t="inlineStr">
        <is>
          <t>Secured</t>
        </is>
      </c>
      <c r="G20" s="33" t="inlineStr">
        <is>
          <t>Full</t>
        </is>
      </c>
      <c r="H20" s="34" t="n">
        <v>2600</v>
      </c>
      <c r="I20" s="34" t="n">
        <v>0</v>
      </c>
      <c r="J20" s="34" t="n">
        <v>1200</v>
      </c>
      <c r="K20" s="36">
        <f>I20+J20</f>
        <v/>
      </c>
      <c r="L20" s="36">
        <f>IF(ISNUMBER(T20),IF(T20&gt;=$B$24,H20-K20-U20,0),0)</f>
        <v/>
      </c>
      <c r="M20" s="33" t="inlineStr">
        <is>
          <t>Floating</t>
        </is>
      </c>
      <c r="N20" s="190" t="inlineStr">
        <is>
          <t>Term SOFR + 5.50% (0% floor); ABR + 4.50%</t>
        </is>
      </c>
      <c r="O20" s="40" t="inlineStr">
        <is>
          <t>n/a (new)</t>
        </is>
      </c>
      <c r="P20" s="38" t="n">
        <v>48092</v>
      </c>
      <c r="Q20" s="33" t="inlineStr">
        <is>
          <t>Not disclosed</t>
        </is>
      </c>
      <c r="R20" s="190" t="inlineStr">
        <is>
          <t>All borrower and subsidiary assets + 100% equity pledge (Holdco); customer contracts avg ~3 yrs vs ~5-yr loan</t>
        </is>
      </c>
      <c r="S20" s="39" t="inlineStr">
        <is>
          <t>Subsequent tab: A1 (Note 16: $2.6bn, matures Sep 2031, $1.2bn drawn), B1-B4 (8-K Item 1.01: closed 8/7/26; draw to Dec 2026; maturity 9/1/2031; Term SOFR + 5.50%; parent guarantee + security), B6 (DSCR &gt;= 1.35x), C3/C8 (PR: ~3-yr contracts; Ba2/BB+).</t>
        </is>
      </c>
      <c r="T20" s="38" t="n">
        <v>46387</v>
      </c>
      <c r="U20" s="34" t="n">
        <v>0</v>
      </c>
      <c r="V20" s="36">
        <f>IF(C20="Subsequent event",0,IF(ISNUMBER(T20),IF(T20&gt;=$B$25,H20-I20-U20,0),0))</f>
        <v/>
      </c>
      <c r="W20" s="64">
        <f>K20*$B$26</f>
        <v/>
      </c>
      <c r="X20" s="139">
        <f>YEAR(P20)</f>
        <v/>
      </c>
    </row>
    <row r="21">
      <c r="A21" s="41" t="inlineStr">
        <is>
          <t>Total</t>
        </is>
      </c>
      <c r="I21" s="42">
        <f>SUM(I2:I20)</f>
        <v/>
      </c>
      <c r="J21" s="42">
        <f>SUM(J2:J20)</f>
        <v/>
      </c>
      <c r="K21" s="42">
        <f>SUM(K2:K20)</f>
        <v/>
      </c>
      <c r="L21" s="42">
        <f>SUM(L2:L20)</f>
        <v/>
      </c>
      <c r="V21" s="62">
        <f>SUM(V2:V20)</f>
        <v/>
      </c>
      <c r="W21" s="65">
        <f>SUM(W2:W20)</f>
        <v/>
      </c>
    </row>
    <row r="22">
      <c r="V22" s="66" t="inlineStr">
        <is>
          <t>Weighted avg rate</t>
        </is>
      </c>
      <c r="W22" s="67">
        <f>W21/K21</f>
        <v/>
      </c>
    </row>
    <row r="23">
      <c r="A23" s="41" t="inlineStr">
        <is>
          <t>Inputs</t>
        </is>
      </c>
    </row>
    <row r="24">
      <c r="A24" s="43" t="inlineStr">
        <is>
          <t>Analysis date (Undrawn 8/13 uses this)</t>
        </is>
      </c>
      <c r="B24" s="44" t="n">
        <v>46247</v>
      </c>
    </row>
    <row r="25">
      <c r="A25" s="43" t="inlineStr">
        <is>
          <t>Balance sheet date (Undrawn 6/30 uses this)</t>
        </is>
      </c>
      <c r="B25" s="44" t="n">
        <v>46203</v>
      </c>
    </row>
    <row r="26">
      <c r="A26" s="68" t="inlineStr">
        <is>
          <t>DDTL 5.5 assumed effective rate</t>
        </is>
      </c>
      <c r="B26" s="69" t="n">
        <v>0.1</v>
      </c>
      <c r="C26" s="70" t="inlineStr">
        <is>
          <t>Assumption: DDTL 5.0 (SOFR + 4.50%) effective rate 9% in the 10-Q; DDTL 5.5 is SOFR + 5.50% -&gt; ~10%</t>
        </is>
      </c>
    </row>
    <row r="27">
      <c r="A27" s="41" t="inlineStr">
        <is>
          <t>Legend</t>
        </is>
      </c>
    </row>
    <row r="28">
      <c r="A28" s="45" t="inlineStr">
        <is>
          <t>Blue = typed from a source (cited in column S); Green = link to another tab; Black = formula.</t>
        </is>
      </c>
    </row>
    <row r="29">
      <c r="A29" s="45" t="inlineStr">
        <is>
          <t>Undrawn = Commitment - Principal - Availability Reductions, only while the draw period is open (Draw Period End on/after the date). 'Closed' / 'n/a' = 0. Undrawn 6/30 excludes facilities signed after 6/30.</t>
        </is>
      </c>
    </row>
    <row r="30">
      <c r="A30" s="45" t="inlineStr">
        <is>
          <t>Pro forma 8/13 = 6/30 principal + draws disclosed after 6/30 (10-Q Note 16 / 8-K). Scheduled repayments after 6/30 are not disclosed and not deducted.</t>
        </is>
      </c>
    </row>
    <row r="31">
      <c r="A31" s="45" t="inlineStr">
        <is>
          <t>Allowed values - Type: DDTL / Senior Notes / Convertible / Revolver / Vendor Financing / Other. Status: Reported 6/30 / Subsequent event. Recourse: Recourse / Non-recourse.</t>
        </is>
      </c>
    </row>
    <row r="32">
      <c r="A32" s="45" t="inlineStr">
        <is>
          <t>Secured: Secured / Unsecured / Not disclosed. Parent Guarantee: Full / Carve-outs only / N/A (borrower is the parent) / Not disclosed. Amortizing/Bullet: Amortizing / Bullet / Revolving / Not disclosed.</t>
        </is>
      </c>
    </row>
    <row r="34">
      <c r="A34" s="46" t="inlineStr">
        <is>
          <t>Checks (should all be 0)</t>
        </is>
      </c>
      <c r="B34" s="47" t="n"/>
      <c r="C34" s="47" t="n"/>
    </row>
    <row r="35">
      <c r="A35" s="43" t="inlineStr">
        <is>
          <t>Principal 6/30 total vs 10-Q maturity schedule total (10Q_Debt T3)</t>
        </is>
      </c>
      <c r="B35" s="48">
        <f>I21-'10Q_Debt'!B57</f>
        <v/>
      </c>
    </row>
    <row r="36">
      <c r="A36" s="43" t="inlineStr">
        <is>
          <t>Recourse principal vs 10-Q (total recourse net + discount)</t>
        </is>
      </c>
      <c r="B36" s="48">
        <f>SUMIF(E2:E20,"Recourse",I2:I20)-('10Q_Debt'!D26-'10Q_Debt'!D25)</f>
        <v/>
      </c>
    </row>
    <row r="37">
      <c r="A37" s="43" t="inlineStr">
        <is>
          <t>Non-recourse principal vs 10-Q (total non-recourse net + discount)</t>
        </is>
      </c>
      <c r="B37" s="48">
        <f>SUMIF(E2:E20,"Non-recourse",I2:I20)-('10Q_Debt'!D33-'10Q_Debt'!D32)</f>
        <v/>
      </c>
    </row>
    <row r="38">
      <c r="A38" s="43" t="inlineStr">
        <is>
          <t>Undrawn 6/30 total vs MD&amp;A 'Availability under existing facilities'</t>
        </is>
      </c>
      <c r="B38" s="48">
        <f>V21-'10Q_Debt'!B72</f>
        <v/>
      </c>
    </row>
    <row r="39">
      <c r="A39" s="43" t="inlineStr">
        <is>
          <t>Pro forma = 6/30 principal + subsequent draws</t>
        </is>
      </c>
      <c r="B39" s="48">
        <f>K21-I21-J21</f>
        <v/>
      </c>
    </row>
    <row r="40">
      <c r="A40" s="43" t="inlineStr">
        <is>
          <t>Logic: Non-recourse rows with a Full parent guarantee (count)</t>
        </is>
      </c>
      <c r="B40" s="48">
        <f>COUNTIFS(E2:E20,"Non-recourse",G2:G20,"Full")</f>
        <v/>
      </c>
    </row>
    <row r="41">
      <c r="A41" s="43" t="inlineStr">
        <is>
          <t>Logic: Recourse rows with Carve-outs only (count)</t>
        </is>
      </c>
      <c r="B41" s="48">
        <f>COUNTIFS(E2:E20,"Recourse",G2:G20,"Carve-outs only")</f>
        <v/>
      </c>
    </row>
    <row r="43">
      <c r="A43" s="49" t="inlineStr">
        <is>
          <t>Summary - pro forma principal at 8/13 ($mm)</t>
        </is>
      </c>
      <c r="B43" s="49" t="inlineStr">
        <is>
          <t>Pro forma</t>
        </is>
      </c>
      <c r="C43" s="49" t="inlineStr">
        <is>
          <t>% of total</t>
        </is>
      </c>
    </row>
    <row r="44">
      <c r="A44" s="50" t="inlineStr">
        <is>
          <t>By recourse</t>
        </is>
      </c>
    </row>
    <row r="45">
      <c r="A45" s="43" t="inlineStr">
        <is>
          <t xml:space="preserve">   Recourse</t>
        </is>
      </c>
      <c r="B45" s="48">
        <f>SUMIF(E2:E20,"Recourse",K2:K20)</f>
        <v/>
      </c>
      <c r="C45" s="51">
        <f>IF($K$21=0,0,B45/$K$21)</f>
        <v/>
      </c>
    </row>
    <row r="46">
      <c r="A46" s="43" t="inlineStr">
        <is>
          <t xml:space="preserve">   Non-recourse</t>
        </is>
      </c>
      <c r="B46" s="48">
        <f>SUMIF(E2:E20,"Non-recourse",K2:K20)</f>
        <v/>
      </c>
      <c r="C46" s="51">
        <f>IF($K$21=0,0,B46/$K$21)</f>
        <v/>
      </c>
    </row>
    <row r="47">
      <c r="A47" s="50" t="inlineStr">
        <is>
          <t>By security</t>
        </is>
      </c>
    </row>
    <row r="48">
      <c r="A48" s="43" t="inlineStr">
        <is>
          <t xml:space="preserve">   Secured</t>
        </is>
      </c>
      <c r="B48" s="48">
        <f>SUMIF(F2:F20,"Secured",K2:K20)</f>
        <v/>
      </c>
      <c r="C48" s="51">
        <f>IF($K$21=0,0,B48/$K$21)</f>
        <v/>
      </c>
    </row>
    <row r="49">
      <c r="A49" s="43" t="inlineStr">
        <is>
          <t xml:space="preserve">   Unsecured</t>
        </is>
      </c>
      <c r="B49" s="48">
        <f>SUMIF(F2:F20,"Unsecured",K2:K20)</f>
        <v/>
      </c>
      <c r="C49" s="51">
        <f>IF($K$21=0,0,B49/$K$21)</f>
        <v/>
      </c>
    </row>
    <row r="50">
      <c r="A50" s="43" t="inlineStr">
        <is>
          <t xml:space="preserve">   Not disclosed</t>
        </is>
      </c>
      <c r="B50" s="48">
        <f>SUMIF(F2:F20,"Not disclosed",K2:K20)</f>
        <v/>
      </c>
      <c r="C50" s="51">
        <f>IF($K$21=0,0,B50/$K$21)</f>
        <v/>
      </c>
    </row>
    <row r="51">
      <c r="A51" s="50" t="inlineStr">
        <is>
          <t>By rate type</t>
        </is>
      </c>
    </row>
    <row r="52">
      <c r="A52" s="43" t="inlineStr">
        <is>
          <t xml:space="preserve">   Fixed</t>
        </is>
      </c>
      <c r="B52" s="48">
        <f>SUMIF(M2:M20,"Fixed",K2:K20)</f>
        <v/>
      </c>
      <c r="C52" s="51">
        <f>IF($K$21=0,0,B52/$K$21)</f>
        <v/>
      </c>
    </row>
    <row r="53">
      <c r="A53" s="43" t="inlineStr">
        <is>
          <t xml:space="preserve">   Floating</t>
        </is>
      </c>
      <c r="B53" s="48">
        <f>SUMIF(M2:M20,"Floating",K2:K20)</f>
        <v/>
      </c>
      <c r="C53" s="51">
        <f>IF($K$21=0,0,B53/$K$21)</f>
        <v/>
      </c>
    </row>
    <row r="54">
      <c r="A54" s="43" t="inlineStr">
        <is>
          <t xml:space="preserve">   Mixed</t>
        </is>
      </c>
      <c r="B54" s="48">
        <f>SUMIF(M2:M20,"Mixed",K2:K20)</f>
        <v/>
      </c>
      <c r="C54" s="51">
        <f>IF($K$21=0,0,B54/$K$21)</f>
        <v/>
      </c>
    </row>
    <row r="55">
      <c r="A55" s="43" t="inlineStr">
        <is>
          <t xml:space="preserve">   Not disclosed</t>
        </is>
      </c>
      <c r="B55" s="48">
        <f>SUMIF(M2:M20,"Not disclosed",K2:K20)</f>
        <v/>
      </c>
      <c r="C55" s="51">
        <f>IF($K$21=0,0,B55/$K$21)</f>
        <v/>
      </c>
    </row>
    <row r="56">
      <c r="A56" s="50" t="inlineStr">
        <is>
          <t>By type</t>
        </is>
      </c>
    </row>
    <row r="57">
      <c r="A57" s="43" t="inlineStr">
        <is>
          <t xml:space="preserve">   DDTL</t>
        </is>
      </c>
      <c r="B57" s="48">
        <f>SUMIF(B2:B20,"DDTL",K2:K20)</f>
        <v/>
      </c>
      <c r="C57" s="51">
        <f>IF($K$21=0,0,B57/$K$21)</f>
        <v/>
      </c>
    </row>
    <row r="58">
      <c r="A58" s="43" t="inlineStr">
        <is>
          <t xml:space="preserve">   Senior Notes</t>
        </is>
      </c>
      <c r="B58" s="48">
        <f>SUMIF(B2:B20,"Senior Notes",K2:K20)</f>
        <v/>
      </c>
      <c r="C58" s="51">
        <f>IF($K$21=0,0,B58/$K$21)</f>
        <v/>
      </c>
    </row>
    <row r="59">
      <c r="A59" s="43" t="inlineStr">
        <is>
          <t xml:space="preserve">   Convertible</t>
        </is>
      </c>
      <c r="B59" s="48">
        <f>SUMIF(B2:B20,"Convertible",K2:K20)</f>
        <v/>
      </c>
      <c r="C59" s="51">
        <f>IF($K$21=0,0,B59/$K$21)</f>
        <v/>
      </c>
    </row>
    <row r="60">
      <c r="A60" s="43" t="inlineStr">
        <is>
          <t xml:space="preserve">   Revolver</t>
        </is>
      </c>
      <c r="B60" s="48">
        <f>SUMIF(B2:B20,"Revolver",K2:K20)</f>
        <v/>
      </c>
      <c r="C60" s="51">
        <f>IF($K$21=0,0,B60/$K$21)</f>
        <v/>
      </c>
    </row>
    <row r="61">
      <c r="A61" s="43" t="inlineStr">
        <is>
          <t xml:space="preserve">   Vendor Financing</t>
        </is>
      </c>
      <c r="B61" s="48">
        <f>SUMIF(B2:B20,"Vendor Financing",K2:K20)</f>
        <v/>
      </c>
      <c r="C61" s="51">
        <f>IF($K$21=0,0,B61/$K$21)</f>
        <v/>
      </c>
    </row>
    <row r="62">
      <c r="A62" s="43" t="inlineStr">
        <is>
          <t xml:space="preserve">   Other</t>
        </is>
      </c>
      <c r="B62" s="48">
        <f>SUMIF(B2:B20,"Other",K2:K20)</f>
        <v/>
      </c>
      <c r="C62" s="51">
        <f>IF($K$21=0,0,B62/$K$21)</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4"/>
  <sheetViews>
    <sheetView showGridLines="0" workbookViewId="0">
      <pane xSplit="1" ySplit="4" topLeftCell="B30" activePane="bottomRight" state="frozen"/>
      <selection pane="topRight" activeCell="A1" sqref="A1"/>
      <selection pane="bottomLeft" activeCell="A1" sqref="A1"/>
      <selection pane="bottomRight" activeCell="E75" sqref="E75"/>
    </sheetView>
  </sheetViews>
  <sheetFormatPr baseColWidth="10" defaultColWidth="8.83203125" defaultRowHeight="15"/>
  <cols>
    <col width="46" customWidth="1" style="186" min="1" max="1"/>
    <col width="11.83203125" customWidth="1" style="186" min="2" max="2"/>
    <col width="12" customWidth="1" style="186" min="3" max="4"/>
    <col width="80" customWidth="1" style="186" min="5" max="5"/>
  </cols>
  <sheetData>
    <row r="1" ht="17" customHeight="1" s="186">
      <c r="A1" s="71" t="inlineStr">
        <is>
          <t>Funding Need - 2H26 and FY27 ($mm)</t>
        </is>
      </c>
    </row>
    <row r="2">
      <c r="A2" s="70" t="inlineStr">
        <is>
          <t>Analysis date 2026-08-13. 2H26 = Jul-Dec 2026. Capex on the company’s definition. Base case: includes a minimum cash balance and interest on new debt (closed-form, no circular reference).</t>
        </is>
      </c>
    </row>
    <row r="3">
      <c r="A3" s="160">
        <f>"Active scenario: "&amp;Scenarios!C5</f>
        <v/>
      </c>
    </row>
    <row r="4">
      <c r="A4" s="72" t="inlineStr">
        <is>
          <t>($mm)</t>
        </is>
      </c>
      <c r="B4" s="73" t="inlineStr">
        <is>
          <t>2H26</t>
        </is>
      </c>
      <c r="C4" s="73" t="inlineStr">
        <is>
          <t>FY27</t>
        </is>
      </c>
      <c r="D4" s="73" t="inlineStr">
        <is>
          <t>Total</t>
        </is>
      </c>
      <c r="E4" s="74" t="inlineStr">
        <is>
          <t>Source / Note</t>
        </is>
      </c>
    </row>
    <row r="5">
      <c r="A5" s="75" t="inlineStr">
        <is>
          <t>Uses of cash</t>
        </is>
      </c>
      <c r="B5" s="76" t="n"/>
      <c r="C5" s="76" t="n"/>
      <c r="D5" s="76" t="n"/>
      <c r="E5" s="76" t="n"/>
    </row>
    <row r="6">
      <c r="A6" s="77" t="inlineStr">
        <is>
          <t>Capex (company basis)</t>
        </is>
      </c>
      <c r="B6" s="78">
        <f>B33</f>
        <v/>
      </c>
      <c r="C6" s="78">
        <f>C33</f>
        <v/>
      </c>
      <c r="D6" s="78">
        <f>B6+C6</f>
        <v/>
      </c>
      <c r="E6" s="79" t="inlineStr">
        <is>
          <t>See capex calc below</t>
        </is>
      </c>
    </row>
    <row r="7">
      <c r="A7" s="77" t="inlineStr">
        <is>
          <t>Scheduled debt maturities</t>
        </is>
      </c>
      <c r="B7" s="80">
        <f>'10Q_Debt'!B51</f>
        <v/>
      </c>
      <c r="C7" s="80">
        <f>'10Q_Debt'!B52</f>
        <v/>
      </c>
      <c r="D7" s="78">
        <f>B7+C7</f>
        <v/>
      </c>
      <c r="E7" s="79" t="inlineStr">
        <is>
          <t>10-Q Note 10, Table 3 (principal due; 6/30 debt only)</t>
        </is>
      </c>
    </row>
    <row r="8">
      <c r="A8" s="77" t="inlineStr">
        <is>
          <t>Interest on existing debt and facility draws</t>
        </is>
      </c>
      <c r="B8" s="78">
        <f>B44</f>
        <v/>
      </c>
      <c r="C8" s="78">
        <f>C44</f>
        <v/>
      </c>
      <c r="D8" s="78">
        <f>B8+C8</f>
        <v/>
      </c>
      <c r="E8" s="79" t="inlineStr">
        <is>
          <t>See interest calc below</t>
        </is>
      </c>
    </row>
    <row r="9" ht="27" customHeight="1" s="186">
      <c r="A9" s="77" t="inlineStr">
        <is>
          <t xml:space="preserve">Minimum cash balance </t>
        </is>
      </c>
      <c r="B9" s="78" t="n">
        <v>2000</v>
      </c>
      <c r="C9" s="78" t="n">
        <v>0</v>
      </c>
      <c r="D9" s="78">
        <f>B9+C9</f>
        <v/>
      </c>
      <c r="E9" s="102" t="inlineStr">
        <is>
          <t>Assumption: ~1 quarter of cash operating costs (2H26 revenue x (1 - EBITDA margin) / 2 = ~1,740), rounded up to 2,000. Kept from 2H26 onward; not counted again in FY27</t>
        </is>
      </c>
    </row>
    <row r="10">
      <c r="A10" s="81" t="inlineStr">
        <is>
          <t>Total uses</t>
        </is>
      </c>
      <c r="B10" s="82">
        <f>SUM(B6:B9)</f>
        <v/>
      </c>
      <c r="C10" s="82">
        <f>SUM(C6:C9)</f>
        <v/>
      </c>
      <c r="D10" s="82">
        <f>SUM(D6:D9)</f>
        <v/>
      </c>
      <c r="E10" s="83" t="n"/>
    </row>
    <row r="12">
      <c r="A12" s="75" t="inlineStr">
        <is>
          <t>Sources of cash</t>
        </is>
      </c>
      <c r="B12" s="76" t="n"/>
      <c r="C12" s="76" t="n"/>
      <c r="D12" s="76" t="n"/>
      <c r="E12" s="76" t="n"/>
    </row>
    <row r="13">
      <c r="A13" s="77" t="inlineStr">
        <is>
          <t>Pro forma cash (8/13)</t>
        </is>
      </c>
      <c r="B13" s="78">
        <f>B50</f>
        <v/>
      </c>
      <c r="D13" s="78">
        <f>B13</f>
        <v/>
      </c>
      <c r="E13" s="79" t="inlineStr">
        <is>
          <t>See liquidity calc below; excludes restricted cash</t>
        </is>
      </c>
    </row>
    <row r="14">
      <c r="A14" s="77" t="inlineStr">
        <is>
          <t>Undrawn committed facilities (8/13)</t>
        </is>
      </c>
      <c r="B14" s="80">
        <f>'Debt Database'!L21</f>
        <v/>
      </c>
      <c r="D14" s="78">
        <f>B14</f>
        <v/>
      </c>
      <c r="E14" s="79" t="inlineStr">
        <is>
          <t>DDTL draws restricted to capex; unused amounts expire at draw-period end</t>
        </is>
      </c>
    </row>
    <row r="15">
      <c r="A15" s="77" t="inlineStr">
        <is>
          <t>Operating cash flow before interest</t>
        </is>
      </c>
      <c r="B15" s="78">
        <f>B63</f>
        <v/>
      </c>
      <c r="C15" s="78">
        <f>C63</f>
        <v/>
      </c>
      <c r="D15" s="78">
        <f>B15+C15</f>
        <v/>
      </c>
      <c r="E15" s="79" t="inlineStr">
        <is>
          <t>See operating cash flow calc below</t>
        </is>
      </c>
    </row>
    <row r="16">
      <c r="A16" s="77" t="inlineStr">
        <is>
          <t>Carryover from prior period</t>
        </is>
      </c>
      <c r="C16" s="78">
        <f>MAX(B17-B10,0)</f>
        <v/>
      </c>
      <c r="E16" s="79" t="inlineStr">
        <is>
          <t>Unused 2H26 sources roll into FY27; not added in Total (already counted)</t>
        </is>
      </c>
    </row>
    <row r="17">
      <c r="A17" s="81" t="inlineStr">
        <is>
          <t>Total sources</t>
        </is>
      </c>
      <c r="B17" s="82">
        <f>SUM(B13:B16)</f>
        <v/>
      </c>
      <c r="C17" s="82">
        <f>SUM(C13:C16)</f>
        <v/>
      </c>
      <c r="D17" s="82">
        <f>SUM(D13:D15)</f>
        <v/>
      </c>
      <c r="E17" s="83" t="n"/>
    </row>
    <row r="19" ht="16" customHeight="1" s="186" thickBot="1">
      <c r="A19" s="84" t="inlineStr">
        <is>
          <t>Funding gap before new-debt interest</t>
        </is>
      </c>
      <c r="B19" s="85">
        <f>MAX(B10-B17,0)</f>
        <v/>
      </c>
      <c r="C19" s="85">
        <f>MAX(C10-C17,0)</f>
        <v/>
      </c>
      <c r="D19" s="85">
        <f>B19+C19</f>
        <v/>
      </c>
      <c r="E19" s="86" t="inlineStr">
        <is>
          <t>Includes minimum cash; before interest on new debt</t>
        </is>
      </c>
    </row>
    <row r="20" ht="16" customHeight="1" s="186" thickTop="1">
      <c r="A20" s="87" t="n"/>
      <c r="B20" s="97" t="n"/>
      <c r="C20" s="97" t="n"/>
      <c r="D20" s="97" t="n"/>
      <c r="E20" s="79" t="n"/>
    </row>
    <row r="21" ht="27" customHeight="1" s="186">
      <c r="A21" s="103" t="inlineStr">
        <is>
          <t>New debt interest rate</t>
        </is>
      </c>
      <c r="B21" s="161">
        <f>Scenarios!$F$12</f>
        <v/>
      </c>
      <c r="C21" s="104">
        <f>B21</f>
        <v/>
      </c>
      <c r="D21" s="98" t="n"/>
      <c r="E21" s="162" t="inlineStr">
        <is>
          <t>Active scenario (Scenarios F12); base 9.5% - rationale on Scenarios tab</t>
        </is>
      </c>
    </row>
    <row r="22">
      <c r="A22" s="103" t="inlineStr">
        <is>
          <t>Interest on prior-period new debt</t>
        </is>
      </c>
      <c r="B22" s="98" t="n">
        <v>0</v>
      </c>
      <c r="C22" s="98">
        <f>B24*C21*1</f>
        <v/>
      </c>
      <c r="D22" s="98" t="n"/>
      <c r="E22" s="79" t="inlineStr">
        <is>
          <t>2H26 new debt is outstanding all of FY27 (assumed bullet: no repayment before 2028)</t>
        </is>
      </c>
    </row>
    <row r="23" ht="27" customHeight="1" s="186">
      <c r="A23" s="103" t="inlineStr">
        <is>
          <t>Timing factor (avg outstanding)</t>
        </is>
      </c>
      <c r="B23" s="105" t="n">
        <v>0.25</v>
      </c>
      <c r="C23" s="105" t="n">
        <v>0.5</v>
      </c>
      <c r="D23" s="98" t="n"/>
      <c r="E23" s="102" t="inlineStr">
        <is>
          <t>Borrowed evenly through the period, so outstanding half the time on average: 2H26 = 0.5 yr x 0.5; FY27 = 1 yr x 0.5</t>
        </is>
      </c>
    </row>
    <row r="24" ht="27" customHeight="1" s="186">
      <c r="A24" s="100" t="inlineStr">
        <is>
          <t>New financing required</t>
        </is>
      </c>
      <c r="B24" s="101">
        <f>(B19+B22)/(1-B21*B23)</f>
        <v/>
      </c>
      <c r="C24" s="101">
        <f>(C19+C22)/(1-C21*C23)</f>
        <v/>
      </c>
      <c r="D24" s="101">
        <f>B24+C24</f>
        <v/>
      </c>
      <c r="E24" s="102" t="inlineStr">
        <is>
          <t>N = (gap + interest on prior-period new debt) / (1 - rate x timing). Solves N = gap + interest on N without a circular reference</t>
        </is>
      </c>
    </row>
    <row r="25">
      <c r="A25" s="11" t="inlineStr">
        <is>
          <t>Memo: interest on new debt</t>
        </is>
      </c>
      <c r="B25" s="98">
        <f>B24*B21*B23+B22</f>
        <v/>
      </c>
      <c r="C25" s="98">
        <f>C24*C21*C23+C22</f>
        <v/>
      </c>
      <c r="D25" s="99">
        <f>B25+C25</f>
        <v/>
      </c>
      <c r="E25" s="79" t="inlineStr">
        <is>
          <t>Not added to Uses (that would be circular); already funded inside row 24</t>
        </is>
      </c>
    </row>
    <row r="27">
      <c r="A27" s="75" t="inlineStr">
        <is>
          <t>Supporting calculations</t>
        </is>
      </c>
      <c r="B27" s="76" t="n"/>
      <c r="C27" s="76" t="n"/>
      <c r="D27" s="76" t="n"/>
      <c r="E27" s="76" t="n"/>
    </row>
    <row r="28">
      <c r="A28" s="87" t="inlineStr">
        <is>
          <t>Capex</t>
        </is>
      </c>
    </row>
    <row r="29">
      <c r="A29" s="77" t="inlineStr">
        <is>
          <t>FY26 capex guidance - low</t>
        </is>
      </c>
      <c r="B29" s="88" t="n">
        <v>35000</v>
      </c>
      <c r="E29" s="79">
        <f>"Guidance!E9: "&amp;Guidance!E9</f>
        <v/>
      </c>
    </row>
    <row r="30">
      <c r="A30" s="77" t="inlineStr">
        <is>
          <t>FY26 capex guidance - high</t>
        </is>
      </c>
      <c r="B30" s="88" t="n">
        <v>39000</v>
      </c>
    </row>
    <row r="31">
      <c r="A31" s="77" t="inlineStr">
        <is>
          <t>FY26 capex - midpoint</t>
        </is>
      </c>
      <c r="B31" s="78">
        <f>AVERAGE(B29,B30)</f>
        <v/>
      </c>
    </row>
    <row r="32">
      <c r="A32" s="77" t="inlineStr">
        <is>
          <t>Less: 1H26 capex (company basis)</t>
        </is>
      </c>
      <c r="B32" s="80">
        <f>Guidance!E19</f>
        <v/>
      </c>
      <c r="E32" s="79" t="inlineStr">
        <is>
          <t>Earnings Presentation slide 16</t>
        </is>
      </c>
    </row>
    <row r="33">
      <c r="A33" s="87" t="inlineStr">
        <is>
          <t>Capex</t>
        </is>
      </c>
      <c r="B33" s="82">
        <f>B31-B32</f>
        <v/>
      </c>
      <c r="C33" s="89" t="n">
        <v>37000</v>
      </c>
      <c r="E33" s="79" t="inlineStr">
        <is>
          <t>FY27 assumption: flat at FY26 guidance midpoint</t>
        </is>
      </c>
    </row>
    <row r="35">
      <c r="A35" s="87" t="inlineStr">
        <is>
          <t>Interest on existing debt and facility draws</t>
        </is>
      </c>
    </row>
    <row r="36">
      <c r="A36" s="77" t="inlineStr">
        <is>
          <t>Opening debt (pro forma principal)</t>
        </is>
      </c>
      <c r="B36" s="80">
        <f>'Debt Database'!K21</f>
        <v/>
      </c>
      <c r="C36" s="78">
        <f>B38</f>
        <v/>
      </c>
      <c r="E36" s="79" t="inlineStr">
        <is>
          <t>2H26 opens at 8/13 pro forma; FY27 opens at 2H26 closing</t>
        </is>
      </c>
    </row>
    <row r="37">
      <c r="A37" s="77" t="inlineStr">
        <is>
          <t>Less: scheduled maturities</t>
        </is>
      </c>
      <c r="B37" s="78">
        <f>-B7</f>
        <v/>
      </c>
      <c r="C37" s="78">
        <f>-C7</f>
        <v/>
      </c>
    </row>
    <row r="38">
      <c r="A38" s="77" t="inlineStr">
        <is>
          <t>Closing debt</t>
        </is>
      </c>
      <c r="B38" s="90">
        <f>B36+B37</f>
        <v/>
      </c>
      <c r="C38" s="90">
        <f>C36+C37</f>
        <v/>
      </c>
    </row>
    <row r="39">
      <c r="A39" s="77" t="inlineStr">
        <is>
          <t>Average debt</t>
        </is>
      </c>
      <c r="B39" s="78">
        <f>AVERAGE(B36,B38)</f>
        <v/>
      </c>
      <c r="C39" s="78">
        <f>AVERAGE(C36,C38)</f>
        <v/>
      </c>
      <c r="E39" s="79" t="inlineStr">
        <is>
          <t>Assumes repayments spread evenly through the period</t>
        </is>
      </c>
    </row>
    <row r="40">
      <c r="A40" s="77" t="inlineStr">
        <is>
          <t>Weighted average effective rate</t>
        </is>
      </c>
      <c r="B40" s="91">
        <f>'Debt Database'!W22</f>
        <v/>
      </c>
      <c r="C40" s="92">
        <f>B40</f>
        <v/>
      </c>
      <c r="E40" s="79" t="inlineStr">
        <is>
          <t>Debt Database W22; 10-Q effective rates (rounded to whole %)</t>
        </is>
      </c>
    </row>
    <row r="41">
      <c r="A41" s="77" t="inlineStr">
        <is>
          <t>Year fraction</t>
        </is>
      </c>
      <c r="B41" s="93" t="n">
        <v>0.5</v>
      </c>
      <c r="C41" s="93" t="n">
        <v>1</v>
      </c>
    </row>
    <row r="42">
      <c r="A42" s="77" t="inlineStr">
        <is>
          <t>SOFR shock on floating-rate debt</t>
        </is>
      </c>
      <c r="B42" s="163">
        <f>'Debt Database'!$B$53*Scenarios!$F$11/10000*B41</f>
        <v/>
      </c>
      <c r="C42" s="163">
        <f>'Debt Database'!$B$53*Scenarios!$F$11/10000*C41</f>
        <v/>
      </c>
      <c r="E42" s="162" t="inlineStr">
        <is>
          <t>Floating-rate debt (Debt Database B53, ~13.2bn) x shock (bp / 10,000) x year fraction; 0 in Base</t>
        </is>
      </c>
    </row>
    <row r="43">
      <c r="A43" s="77" t="inlineStr">
        <is>
          <t>Interest on draws of committed facilities</t>
        </is>
      </c>
      <c r="B43" s="167">
        <f>B14*B40*B23</f>
        <v/>
      </c>
      <c r="C43" s="167">
        <f>B14*C40*C41</f>
        <v/>
      </c>
      <c r="E43" s="168" t="inlineStr">
        <is>
          <t>Undrawn facilities used as a source become debt: drawn evenly in 2H26 (avg 0.25 yr), outstanding all of FY27; at weighted avg effective rate</t>
        </is>
      </c>
    </row>
    <row r="44">
      <c r="A44" s="87" t="inlineStr">
        <is>
          <t>Interest on existing debt and facility draws</t>
        </is>
      </c>
      <c r="B44" s="169">
        <f>B39*B40*B41+B42+B43</f>
        <v/>
      </c>
      <c r="C44" s="169">
        <f>C39*C40*C41+C42+C43</f>
        <v/>
      </c>
    </row>
    <row r="46">
      <c r="A46" s="87" t="inlineStr">
        <is>
          <t>Pro forma cash</t>
        </is>
      </c>
    </row>
    <row r="47">
      <c r="A47" s="77" t="inlineStr">
        <is>
          <t>Cash and cash equivalents (6/30)</t>
        </is>
      </c>
      <c r="B47" s="80">
        <f>'10Q_Debt'!B70</f>
        <v/>
      </c>
      <c r="E47" s="79" t="inlineStr">
        <is>
          <t>10-Q MD&amp;A liquidity table; restricted cash excluded</t>
        </is>
      </c>
    </row>
    <row r="48">
      <c r="A48" s="77" t="inlineStr">
        <is>
          <t>Marketable securities (6/30)</t>
        </is>
      </c>
      <c r="B48" s="80">
        <f>'10Q_Debt'!B71</f>
        <v/>
      </c>
    </row>
    <row r="49">
      <c r="A49" s="77" t="inlineStr">
        <is>
          <t>Add: draws after 6/30</t>
        </is>
      </c>
      <c r="B49" s="80">
        <f>'Debt Database'!J21</f>
        <v/>
      </c>
      <c r="E49" s="79" t="inlineStr">
        <is>
          <t>Aug 2026: revolver 1,200 + DDTL 5.5 1,200 (debt side already in opening debt)</t>
        </is>
      </c>
    </row>
    <row r="50">
      <c r="A50" s="87" t="inlineStr">
        <is>
          <t>Pro forma cash (8/13)</t>
        </is>
      </c>
      <c r="B50" s="82">
        <f>SUM(B47:B49)</f>
        <v/>
      </c>
    </row>
    <row r="52">
      <c r="A52" s="87" t="inlineStr">
        <is>
          <t>Operating cash flow before interest</t>
        </is>
      </c>
    </row>
    <row r="53">
      <c r="A53" s="77" t="inlineStr">
        <is>
          <t>FY26 revenue guidance - low</t>
        </is>
      </c>
      <c r="B53" s="88" t="n">
        <v>12400</v>
      </c>
      <c r="E53" s="79">
        <f>"Guidance!E7: "&amp;Guidance!E7</f>
        <v/>
      </c>
    </row>
    <row r="54">
      <c r="A54" s="77" t="inlineStr">
        <is>
          <t>FY26 revenue guidance - high</t>
        </is>
      </c>
      <c r="B54" s="88" t="n">
        <v>13200</v>
      </c>
    </row>
    <row r="55">
      <c r="A55" s="77" t="inlineStr">
        <is>
          <t>FY26 revenue - midpoint</t>
        </is>
      </c>
      <c r="B55" s="78">
        <f>AVERAGE(B53,B54)</f>
        <v/>
      </c>
    </row>
    <row r="56">
      <c r="A56" s="77" t="inlineStr">
        <is>
          <t>Less: 1H26 revenue</t>
        </is>
      </c>
      <c r="B56" s="80">
        <f>'PR_Q2-26'!D18</f>
        <v/>
      </c>
      <c r="E56" s="79" t="inlineStr">
        <is>
          <t>Q2'26 press release, six months 2026</t>
        </is>
      </c>
    </row>
    <row r="57">
      <c r="A57" s="77" t="inlineStr">
        <is>
          <t>Revenue before scenario adjustment</t>
        </is>
      </c>
      <c r="B57" s="164">
        <f>B55-B56</f>
        <v/>
      </c>
      <c r="C57" s="165" t="n">
        <v>19000</v>
      </c>
      <c r="E57" s="162">
        <f>"FY27 = exiting 2026 ARR midpoint (no growth). Guidance!E10: "&amp;Guidance!E10</f>
        <v/>
      </c>
    </row>
    <row r="58">
      <c r="A58" s="77" t="inlineStr">
        <is>
          <t>Scenario adjustment (% chg)</t>
        </is>
      </c>
      <c r="B58" s="166">
        <f>Scenarios!$F$8</f>
        <v/>
      </c>
      <c r="C58" s="166">
        <f>Scenarios!$F$9</f>
        <v/>
      </c>
      <c r="E58" s="162" t="inlineStr">
        <is>
          <t>Active scenario (Scenarios F8:F9); 0% in Base</t>
        </is>
      </c>
    </row>
    <row r="59">
      <c r="A59" s="77" t="inlineStr">
        <is>
          <t>Revenue</t>
        </is>
      </c>
      <c r="B59" s="164">
        <f>B57*(1+B58)</f>
        <v/>
      </c>
      <c r="C59" s="164">
        <f>C57*(1+C58)</f>
        <v/>
      </c>
      <c r="E59" s="79" t="n"/>
    </row>
    <row r="60">
      <c r="A60" s="77" t="inlineStr">
        <is>
          <t>Adj. EBITDA margin</t>
        </is>
      </c>
      <c r="B60" s="161">
        <f>Scenarios!$F$10</f>
        <v/>
      </c>
      <c r="C60" s="92">
        <f>B60</f>
        <v/>
      </c>
      <c r="E60" s="162" t="inlineStr">
        <is>
          <t>Active scenario (Scenarios F10); base = 1H26 actual (2,667 / 4,653); FY27 held flat</t>
        </is>
      </c>
    </row>
    <row r="61">
      <c r="A61" s="77" t="inlineStr">
        <is>
          <t>Adj. EBITDA</t>
        </is>
      </c>
      <c r="B61" s="78">
        <f>B59*B60</f>
        <v/>
      </c>
      <c r="C61" s="78">
        <f>C59*C60</f>
        <v/>
      </c>
    </row>
    <row r="62">
      <c r="A62" s="77" t="inlineStr">
        <is>
          <t>Less: cash taxes / working capital</t>
        </is>
      </c>
      <c r="B62" s="88" t="n">
        <v>0</v>
      </c>
      <c r="C62" s="88" t="n">
        <v>0</v>
      </c>
      <c r="E62" s="79" t="inlineStr">
        <is>
          <t>Assumed nil: loss-making (low cash tax); customer prepayments ignored (conservative)</t>
        </is>
      </c>
    </row>
    <row r="63">
      <c r="A63" s="87" t="inlineStr">
        <is>
          <t>Operating cash flow before interest</t>
        </is>
      </c>
      <c r="B63" s="82">
        <f>B61-B62</f>
        <v/>
      </c>
      <c r="C63" s="82">
        <f>C61-C62</f>
        <v/>
      </c>
    </row>
    <row r="65">
      <c r="A65" s="75" t="inlineStr">
        <is>
          <t>Checks (should be 0)</t>
        </is>
      </c>
      <c r="B65" s="76" t="n"/>
      <c r="C65" s="76" t="n"/>
      <c r="D65" s="76" t="n"/>
      <c r="E65" s="76" t="n"/>
    </row>
    <row r="66">
      <c r="A66" s="94" t="inlineStr">
        <is>
          <t>Total funding gap vs total uses - total sources</t>
        </is>
      </c>
      <c r="B66" s="95" t="n"/>
      <c r="C66" s="95" t="n"/>
      <c r="D66" s="96">
        <f>D19-(D10-D17)</f>
        <v/>
      </c>
      <c r="E66" s="95" t="n"/>
    </row>
    <row r="67">
      <c r="A67" s="94" t="inlineStr">
        <is>
          <t>Liquidity links vs 10-Q MD&amp;A total liquidity (6/30)</t>
        </is>
      </c>
      <c r="B67" s="95" t="n"/>
      <c r="C67" s="95" t="n"/>
      <c r="D67" s="96">
        <f>(B47+B48+'Debt Database'!V21)-'10Q_Debt'!B73</f>
        <v/>
      </c>
      <c r="E67" s="95" t="n"/>
    </row>
    <row r="68">
      <c r="A68" s="107" t="inlineStr">
        <is>
          <t>New financing = funding gap + interest on new debt</t>
        </is>
      </c>
      <c r="B68" s="95" t="n"/>
      <c r="C68" s="95" t="n"/>
      <c r="D68" s="96">
        <f>D24-(D19+D25)</f>
        <v/>
      </c>
      <c r="E68" s="95" t="n"/>
    </row>
    <row r="70">
      <c r="A70" s="75" t="inlineStr">
        <is>
          <t>Memo: interest cross-check vs company guidance (not used in the model)</t>
        </is>
      </c>
      <c r="B70" s="76" t="n"/>
      <c r="C70" s="76" t="n"/>
      <c r="D70" s="76" t="n"/>
      <c r="E70" s="76" t="n"/>
    </row>
    <row r="71">
      <c r="A71" s="77" t="inlineStr">
        <is>
          <t>Q3'26 interest expense guidance - low</t>
        </is>
      </c>
      <c r="B71" s="88" t="n">
        <v>860</v>
      </c>
      <c r="E71" s="79">
        <f>"Guidance!B9: "&amp;Guidance!B9</f>
        <v/>
      </c>
    </row>
    <row r="72">
      <c r="A72" s="77" t="inlineStr">
        <is>
          <t>Q3'26 interest expense guidance - high</t>
        </is>
      </c>
      <c r="B72" s="88" t="n">
        <v>940</v>
      </c>
    </row>
    <row r="73">
      <c r="A73" s="77" t="inlineStr">
        <is>
          <t>Implied 2H26 interest (Q3 midpoint x 2)</t>
        </is>
      </c>
      <c r="B73" s="78">
        <f>AVERAGE(B71,B72)*2</f>
        <v/>
      </c>
    </row>
    <row r="74">
      <c r="A74" s="106" t="inlineStr">
        <is>
          <t>Difference vs model (existing + new debt)</t>
        </is>
      </c>
      <c r="B74" s="90">
        <f>B73-B8-B25</f>
        <v/>
      </c>
      <c r="E74" s="168" t="inlineStr">
        <is>
          <t>Model now slightly above guidance-implied 2H26 interest (conservative): facility draws and new debt assumed to start 7/1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5"/>
  <sheetViews>
    <sheetView showGridLines="0" topLeftCell="A7" zoomScale="125" workbookViewId="0">
      <selection activeCell="B31" sqref="B31"/>
    </sheetView>
  </sheetViews>
  <sheetFormatPr baseColWidth="10" defaultColWidth="8.6640625" defaultRowHeight="13"/>
  <cols>
    <col width="33.5" customWidth="1" style="110" min="1" max="1"/>
    <col width="12.6640625" customWidth="1" style="110" min="2" max="7"/>
    <col width="70.6640625" customWidth="1" style="110" min="8" max="8"/>
    <col width="8.6640625" customWidth="1" style="110" min="9" max="15"/>
    <col width="8.6640625" customWidth="1" style="110" min="16" max="16384"/>
  </cols>
  <sheetData>
    <row r="1" ht="17" customHeight="1" s="186">
      <c r="A1" s="5" t="inlineStr">
        <is>
          <t>Credit Metrics ($mm)</t>
        </is>
      </c>
    </row>
    <row r="2">
      <c r="A2" s="116" t="inlineStr">
        <is>
          <t>LTM = FY25 + 1H26 - 1H25 Debt pro forma 8/13; earnings LTM to 6/30/2026</t>
        </is>
      </c>
    </row>
    <row r="3">
      <c r="A3" s="111" t="n"/>
      <c r="B3" s="108" t="inlineStr">
        <is>
          <t>FY25</t>
        </is>
      </c>
      <c r="C3" s="108" t="inlineStr">
        <is>
          <t>1H26</t>
        </is>
      </c>
      <c r="D3" s="108" t="inlineStr">
        <is>
          <t>1H25</t>
        </is>
      </c>
      <c r="E3" s="108" t="inlineStr">
        <is>
          <t>LTM</t>
        </is>
      </c>
      <c r="F3" s="108" t="inlineStr">
        <is>
          <t>Q2'26</t>
        </is>
      </c>
      <c r="G3" s="108" t="inlineStr">
        <is>
          <t>Run-rate</t>
        </is>
      </c>
      <c r="H3" s="123" t="inlineStr">
        <is>
          <t>Source/Note</t>
        </is>
      </c>
    </row>
    <row r="4">
      <c r="A4" s="130" t="inlineStr">
        <is>
          <t>Financials</t>
        </is>
      </c>
      <c r="B4" s="128" t="n"/>
      <c r="C4" s="128" t="n"/>
      <c r="D4" s="128" t="n"/>
      <c r="E4" s="128" t="n"/>
      <c r="F4" s="128" t="n"/>
      <c r="G4" s="128" t="n"/>
      <c r="H4" s="129" t="n"/>
    </row>
    <row r="5" ht="15" customHeight="1" s="186">
      <c r="A5" s="112" t="inlineStr">
        <is>
          <t>Revenue</t>
        </is>
      </c>
      <c r="B5" s="113">
        <f>'PR_Q4-25'!D18</f>
        <v/>
      </c>
      <c r="C5" s="131">
        <f>'PR_Q2-26'!D18</f>
        <v/>
      </c>
      <c r="D5" s="113">
        <f>'PR_Q2-26'!E18</f>
        <v/>
      </c>
      <c r="E5" s="115">
        <f>B5+C5-D5</f>
        <v/>
      </c>
      <c r="F5" s="132">
        <f>'PR_Q2-26'!B18</f>
        <v/>
      </c>
      <c r="G5" s="115">
        <f>F5*4</f>
        <v/>
      </c>
      <c r="H5" s="116" t="n"/>
    </row>
    <row r="6" ht="14" customHeight="1" s="186">
      <c r="A6" s="112" t="inlineStr">
        <is>
          <t>Adj. EBITDA</t>
        </is>
      </c>
      <c r="B6" s="113">
        <f>'PR_Q4-25'!D17</f>
        <v/>
      </c>
      <c r="C6" s="113">
        <f>'PR_Q2-26'!D17</f>
        <v/>
      </c>
      <c r="D6" s="109">
        <f>'PR_Q2-26'!E17</f>
        <v/>
      </c>
      <c r="E6" s="115">
        <f>B6+C6-D6</f>
        <v/>
      </c>
      <c r="F6" s="113">
        <f>'PR_Q2-26'!B17</f>
        <v/>
      </c>
      <c r="G6" s="115">
        <f>F6*4</f>
        <v/>
      </c>
      <c r="H6" s="116" t="n"/>
    </row>
    <row r="7" ht="15" customHeight="1" s="186">
      <c r="A7" s="112" t="inlineStr">
        <is>
          <t>D&amp;A</t>
        </is>
      </c>
      <c r="B7" s="113">
        <f>'PR_Q4-25'!D10</f>
        <v/>
      </c>
      <c r="C7" s="113">
        <f>'PR_Q2-26'!D10</f>
        <v/>
      </c>
      <c r="D7" s="113">
        <f>'PR_Q2-26'!E10</f>
        <v/>
      </c>
      <c r="E7" s="115">
        <f>B7+C7-D7</f>
        <v/>
      </c>
      <c r="F7" s="132">
        <f>'PR_Q2-26'!B10</f>
        <v/>
      </c>
      <c r="G7" s="115">
        <f>F7*4</f>
        <v/>
      </c>
    </row>
    <row r="8" ht="15" customHeight="1" s="186">
      <c r="A8" s="112" t="inlineStr">
        <is>
          <t>Adj. operating income</t>
        </is>
      </c>
      <c r="B8" s="113">
        <f>'PR_Q4-25'!D31</f>
        <v/>
      </c>
      <c r="C8" s="113">
        <f>'PR_Q2-26'!D31</f>
        <v/>
      </c>
      <c r="D8" s="113">
        <f>'PR_Q2-26'!E31</f>
        <v/>
      </c>
      <c r="E8" s="115">
        <f>B8+C8-D8</f>
        <v/>
      </c>
      <c r="F8" s="132">
        <f>'PR_Q2-26'!B31</f>
        <v/>
      </c>
      <c r="G8" s="115">
        <f>F8*4</f>
        <v/>
      </c>
      <c r="H8" s="116" t="n"/>
    </row>
    <row r="9" ht="15" customHeight="1" s="186">
      <c r="A9" s="112" t="inlineStr">
        <is>
          <t>Interest expense, net</t>
        </is>
      </c>
      <c r="B9" s="113">
        <f>'PR_Q4-25'!D11</f>
        <v/>
      </c>
      <c r="C9" s="113">
        <f>'PR_Q2-26'!D11</f>
        <v/>
      </c>
      <c r="D9" s="113">
        <f>'PR_Q2-26'!E11</f>
        <v/>
      </c>
      <c r="E9" s="115">
        <f>B9+C9-D9</f>
        <v/>
      </c>
      <c r="F9" s="132">
        <f>'PR_Q2-26'!B11</f>
        <v/>
      </c>
      <c r="G9" s="115">
        <f>F9*4</f>
        <v/>
      </c>
      <c r="H9" s="116" t="inlineStr">
        <is>
          <t>Net of interest income</t>
        </is>
      </c>
    </row>
    <row r="10">
      <c r="A10" s="114" t="n"/>
      <c r="H10" s="116" t="n"/>
    </row>
    <row r="11">
      <c r="A11" s="125" t="inlineStr">
        <is>
          <t>Debt (pro forma 8/13)</t>
        </is>
      </c>
      <c r="B11" s="126" t="n"/>
      <c r="C11" s="126" t="n"/>
      <c r="D11" s="126" t="n"/>
      <c r="E11" s="126" t="n"/>
      <c r="F11" s="126" t="n"/>
      <c r="G11" s="126" t="n"/>
      <c r="H11" s="127" t="n"/>
    </row>
    <row r="12">
      <c r="A12" s="112" t="inlineStr">
        <is>
          <t>Total debt (principal)</t>
        </is>
      </c>
      <c r="E12" s="113">
        <f>'Debt Database'!K21</f>
        <v/>
      </c>
      <c r="F12" s="113" t="n"/>
      <c r="G12" s="113" t="n"/>
      <c r="H12" s="116" t="inlineStr">
        <is>
          <t>Debt Database K21; principal, pro forma 8/13</t>
        </is>
      </c>
    </row>
    <row r="13">
      <c r="A13" s="112" t="inlineStr">
        <is>
          <t>Recourse debt</t>
        </is>
      </c>
      <c r="E13" s="113">
        <f>'Debt Database'!B45</f>
        <v/>
      </c>
      <c r="F13" s="113" t="n"/>
      <c r="G13" s="113" t="n"/>
      <c r="H13" s="124" t="inlineStr">
        <is>
          <t>Debt Database B45; incl. Aug revolver and DDTL 5.5 draws</t>
        </is>
      </c>
    </row>
    <row r="14">
      <c r="A14" s="112" t="inlineStr">
        <is>
          <t>Less: pro forma cash</t>
        </is>
      </c>
      <c r="E14" s="113">
        <f>'Funding Need'!B13</f>
        <v/>
      </c>
      <c r="F14" s="113" t="n"/>
      <c r="G14" s="113" t="n"/>
      <c r="H14" s="116" t="inlineStr">
        <is>
          <t>Funding Need B13; excludes restricted cash</t>
        </is>
      </c>
    </row>
    <row r="15" ht="15" customHeight="1" s="186">
      <c r="A15" s="119" t="inlineStr">
        <is>
          <t>Net debt</t>
        </is>
      </c>
      <c r="B15" s="120" t="n"/>
      <c r="C15" s="120" t="n"/>
      <c r="D15" s="120" t="n"/>
      <c r="E15" s="121">
        <f>E12-E14</f>
        <v/>
      </c>
      <c r="F15" s="121" t="n"/>
      <c r="G15" s="121" t="n"/>
      <c r="H15" s="122" t="n"/>
    </row>
    <row r="16">
      <c r="H16" s="116" t="n"/>
    </row>
    <row r="17">
      <c r="A17" s="125" t="inlineStr">
        <is>
          <t>Credit ratios</t>
        </is>
      </c>
      <c r="B17" s="126" t="n"/>
      <c r="C17" s="126" t="n"/>
      <c r="D17" s="126" t="n"/>
      <c r="E17" s="126" t="n"/>
      <c r="F17" s="126" t="n"/>
      <c r="G17" s="126" t="n"/>
      <c r="H17" s="127" t="n"/>
    </row>
    <row r="18">
      <c r="A18" s="112" t="inlineStr">
        <is>
          <t>Total debt / Adj. EBITDA</t>
        </is>
      </c>
      <c r="E18" s="117">
        <f>E12/E6</f>
        <v/>
      </c>
      <c r="F18" s="117" t="n"/>
      <c r="G18" s="117">
        <f>E12/G6</f>
        <v/>
      </c>
      <c r="H18" s="116" t="inlineStr">
        <is>
          <t>Debt at 8/13 vs LTM EBITDA to 6/30</t>
        </is>
      </c>
    </row>
    <row r="19">
      <c r="A19" s="112" t="inlineStr">
        <is>
          <t>Net debt / Adj. EBITDA</t>
        </is>
      </c>
      <c r="E19" s="117">
        <f>E15/E6</f>
        <v/>
      </c>
      <c r="F19" s="117" t="n"/>
      <c r="G19" s="117">
        <f>E15/G6</f>
        <v/>
      </c>
      <c r="H19" s="116" t="n"/>
    </row>
    <row r="20">
      <c r="A20" s="112" t="inlineStr">
        <is>
          <t>Recourse debt / Adj. EBITDA</t>
        </is>
      </c>
      <c r="E20" s="118">
        <f>E13/E6</f>
        <v/>
      </c>
      <c r="F20" s="118" t="n"/>
      <c r="G20" s="118">
        <f>E13/G6</f>
        <v/>
      </c>
      <c r="H20" s="116" t="n"/>
    </row>
    <row r="21">
      <c r="A21" s="112" t="inlineStr">
        <is>
          <t>Adj. EBITDA / interest</t>
        </is>
      </c>
      <c r="E21" s="117">
        <f>E6/E9</f>
        <v/>
      </c>
      <c r="F21" s="117" t="n"/>
      <c r="G21" s="117">
        <f>G6/G9</f>
        <v/>
      </c>
      <c r="H21" s="116" t="n"/>
    </row>
    <row r="22">
      <c r="A22" s="112" t="inlineStr">
        <is>
          <t>Adj. operating income / interest</t>
        </is>
      </c>
      <c r="E22" s="118">
        <f>E8/E9</f>
        <v/>
      </c>
      <c r="F22" s="118" t="n"/>
      <c r="G22" s="118">
        <f>G8/G9</f>
        <v/>
      </c>
      <c r="H22" s="116" t="inlineStr">
        <is>
          <t>operating profit covers ~1/4 of interest</t>
        </is>
      </c>
    </row>
    <row r="23">
      <c r="A23" s="112" t="inlineStr">
        <is>
          <t>Adj. EBITDA / pro forma interest</t>
        </is>
      </c>
      <c r="G23" s="118">
        <f>G6/'Debt Database'!W21</f>
        <v/>
      </c>
      <c r="H23" s="116" t="inlineStr">
        <is>
          <t>Pro forma interest = 8/13 debt x 10-Q effective rates (Debt Database W21)</t>
        </is>
      </c>
    </row>
    <row r="24">
      <c r="A24" s="112" t="inlineStr">
        <is>
          <t>Adj. operating income / pro forma interest</t>
        </is>
      </c>
      <c r="G24" s="118">
        <f>G8/'Debt Database'!W21</f>
        <v/>
      </c>
    </row>
    <row r="26">
      <c r="A26" s="114" t="inlineStr">
        <is>
          <t>Liquidity (pro forma 8/13)</t>
        </is>
      </c>
    </row>
    <row r="27">
      <c r="A27" s="112" t="inlineStr">
        <is>
          <t>Pro forma cash</t>
        </is>
      </c>
      <c r="E27" s="115">
        <f>'Funding Need'!B13</f>
        <v/>
      </c>
      <c r="H27" s="116" t="inlineStr">
        <is>
          <t>Excludes restricted cash</t>
        </is>
      </c>
    </row>
    <row r="28">
      <c r="A28" s="112" t="inlineStr">
        <is>
          <t>Undrawn revolver</t>
        </is>
      </c>
      <c r="E28" s="115">
        <f>'Debt Database'!L15</f>
        <v/>
      </c>
      <c r="H28" s="116" t="inlineStr">
        <is>
          <t>General corporate purposes; net of 533 letters of credit</t>
        </is>
      </c>
    </row>
    <row r="29">
      <c r="A29" s="112" t="inlineStr">
        <is>
          <t>Undrawn DDTLs</t>
        </is>
      </c>
      <c r="E29" s="115">
        <f>'Debt Database'!L21-E28</f>
        <v/>
      </c>
      <c r="H29" s="116" t="inlineStr">
        <is>
          <t>Capex on specific contracts only; cannot fund debt service</t>
        </is>
      </c>
    </row>
    <row r="30">
      <c r="A30" s="114" t="inlineStr">
        <is>
          <t>Total liquidity</t>
        </is>
      </c>
      <c r="E30" s="115">
        <f>SUM(E27:E29)</f>
        <v/>
      </c>
      <c r="H30" s="116" t="inlineStr">
        <is>
          <t>Ties to Funding Need B13 + B14</t>
        </is>
      </c>
    </row>
    <row r="31" ht="15" customHeight="1" s="186">
      <c r="A31" s="112" t="inlineStr">
        <is>
          <t>Principal due within 12 months</t>
        </is>
      </c>
      <c r="E31" s="134">
        <f>-('10Q_Debt'!D27+'10Q_Debt'!D34)</f>
        <v/>
      </c>
      <c r="H31" s="116" t="inlineStr">
        <is>
          <t>10-Q current portion of debt (6/30); cross-check Table 3: 4,413 + 6,184/2 = 7,505</t>
        </is>
      </c>
    </row>
    <row r="32" ht="15" customHeight="1" s="186">
      <c r="A32" s="112" t="inlineStr">
        <is>
          <t>Pro forma annual interest</t>
        </is>
      </c>
      <c r="E32" s="134">
        <f>'Debt Database'!W21</f>
        <v/>
      </c>
      <c r="H32" s="116" t="inlineStr">
        <is>
          <t>8/13 debt x 10-Q effective rates</t>
        </is>
      </c>
    </row>
    <row r="33" ht="15" customHeight="1" s="186">
      <c r="A33" s="114" t="inlineStr">
        <is>
          <t>NTM debt service</t>
        </is>
      </c>
      <c r="E33" s="134">
        <f>E31+E32</f>
        <v/>
      </c>
      <c r="H33" s="116" t="n"/>
    </row>
    <row r="34" ht="15" customHeight="1" s="186">
      <c r="A34" s="112" t="inlineStr">
        <is>
          <t>Total liquidity / NTM debt service</t>
        </is>
      </c>
      <c r="E34" s="133">
        <f>E30/E33</f>
        <v/>
      </c>
      <c r="H34" s="116" t="n"/>
    </row>
    <row r="35" ht="15" customHeight="1" s="186">
      <c r="A35" s="112" t="inlineStr">
        <is>
          <t>Cash + revolver NTM debt service</t>
        </is>
      </c>
      <c r="E35" s="133">
        <f>(E27+E28)/E33</f>
        <v/>
      </c>
      <c r="H35" s="116" t="inlineStr">
        <is>
          <t>Excludes capex-only DDTL availability</t>
        </is>
      </c>
    </row>
  </sheetData>
  <pageMargins left="0.7" right="0.7" top="0.75" bottom="0.75" header="0.3" footer="0.3"/>
  <pageSetup orientation="portrait" horizontalDpi="0" verticalDpi="0"/>
</worksheet>
</file>

<file path=xl/worksheets/sheet19.xml><?xml version="1.0" encoding="utf-8"?>
<worksheet xmlns="http://schemas.openxmlformats.org/spreadsheetml/2006/main">
  <sheetPr>
    <outlinePr summaryBelow="1" summaryRight="1"/>
    <pageSetUpPr/>
  </sheetPr>
  <dimension ref="A1:J46"/>
  <sheetViews>
    <sheetView showGridLines="0" topLeftCell="A7" zoomScale="75" workbookViewId="0">
      <selection activeCell="J28" sqref="J28"/>
    </sheetView>
  </sheetViews>
  <sheetFormatPr baseColWidth="10" defaultRowHeight="13"/>
  <cols>
    <col width="34.33203125" bestFit="1" customWidth="1" style="110" min="1" max="1"/>
    <col width="10.83203125" customWidth="1" style="110" min="2" max="8"/>
    <col width="45.5" customWidth="1" style="110" min="9" max="9"/>
    <col width="10.83203125" customWidth="1" style="110" min="10" max="16"/>
    <col width="10.83203125" customWidth="1" style="110" min="17" max="16384"/>
  </cols>
  <sheetData>
    <row r="1" ht="18" customHeight="1" s="186">
      <c r="A1" s="137" t="inlineStr">
        <is>
          <t>Maturity</t>
        </is>
      </c>
    </row>
    <row r="4">
      <c r="A4" s="135" t="inlineStr">
        <is>
          <t>($mm)</t>
        </is>
      </c>
      <c r="B4" s="108" t="inlineStr">
        <is>
          <t>2H26</t>
        </is>
      </c>
      <c r="C4" s="108" t="n">
        <v>2027</v>
      </c>
      <c r="D4" s="108" t="n">
        <v>2028</v>
      </c>
      <c r="E4" s="108" t="n">
        <v>2029</v>
      </c>
      <c r="F4" s="108" t="n">
        <v>2030</v>
      </c>
      <c r="G4" s="108" t="inlineStr">
        <is>
          <t>Thereafter</t>
        </is>
      </c>
      <c r="H4" s="108" t="inlineStr">
        <is>
          <t>Total</t>
        </is>
      </c>
      <c r="I4" s="135" t="inlineStr">
        <is>
          <t>Notes</t>
        </is>
      </c>
    </row>
    <row r="5">
      <c r="A5" s="112" t="inlineStr">
        <is>
          <t>10-Q scheduled principal (6/30)</t>
        </is>
      </c>
      <c r="B5" s="110">
        <f>'10Q_Debt'!$B51</f>
        <v/>
      </c>
      <c r="C5" s="110">
        <f>'10Q_Debt'!$B52</f>
        <v/>
      </c>
      <c r="D5" s="110">
        <f>'10Q_Debt'!$B53</f>
        <v/>
      </c>
      <c r="E5" s="110">
        <f>'10Q_Debt'!$B54</f>
        <v/>
      </c>
      <c r="F5" s="110">
        <f>'10Q_Debt'!$B55</f>
        <v/>
      </c>
      <c r="G5" s="110">
        <f>'10Q_Debt'!$B56</f>
        <v/>
      </c>
      <c r="H5" s="110">
        <f>SUM(B5:G5)</f>
        <v/>
      </c>
    </row>
    <row r="6">
      <c r="A6" s="112" t="inlineStr">
        <is>
          <t>Add: Aug revolver draw</t>
        </is>
      </c>
      <c r="E6" s="110">
        <f>'Debt Database'!J15</f>
        <v/>
      </c>
      <c r="H6" s="110">
        <f>SUM(B6:G6)</f>
        <v/>
      </c>
    </row>
    <row r="7">
      <c r="A7" s="112" t="inlineStr">
        <is>
          <t>Add: DDTL 5.5 draw</t>
        </is>
      </c>
      <c r="G7" s="110">
        <f>'Debt Database'!J20</f>
        <v/>
      </c>
      <c r="H7" s="110">
        <f>SUM(B7:G7)</f>
        <v/>
      </c>
      <c r="I7" s="138" t="inlineStr">
        <is>
          <t>Amortization schedule not disclosed; placed at final maturity</t>
        </is>
      </c>
    </row>
    <row r="8">
      <c r="A8" s="114" t="inlineStr">
        <is>
          <t>Pro forma total</t>
        </is>
      </c>
      <c r="B8" s="110">
        <f>SUM(B5:B7)</f>
        <v/>
      </c>
      <c r="C8" s="110">
        <f>SUM(C5:C7)</f>
        <v/>
      </c>
      <c r="D8" s="110">
        <f>SUM(D5:D7)</f>
        <v/>
      </c>
      <c r="E8" s="110">
        <f>SUM(E5:E7)</f>
        <v/>
      </c>
      <c r="F8" s="110">
        <f>SUM(F5:F7)</f>
        <v/>
      </c>
      <c r="G8" s="110">
        <f>SUM(G5:G7)</f>
        <v/>
      </c>
      <c r="H8" s="110">
        <f>SUM(B8:G8)</f>
        <v/>
      </c>
    </row>
    <row r="9">
      <c r="A9" s="110" t="inlineStr">
        <is>
          <t>% of total</t>
        </is>
      </c>
      <c r="B9" s="136">
        <f>B8/$H$8</f>
        <v/>
      </c>
      <c r="C9" s="136">
        <f>C8/$H$8</f>
        <v/>
      </c>
      <c r="D9" s="136">
        <f>D8/$H$8</f>
        <v/>
      </c>
      <c r="E9" s="136">
        <f>E8/$H$8</f>
        <v/>
      </c>
      <c r="F9" s="136">
        <f>F8/$H$8</f>
        <v/>
      </c>
      <c r="G9" s="136">
        <f>G8/$H$8</f>
        <v/>
      </c>
    </row>
    <row r="10">
      <c r="A10" s="110" t="inlineStr">
        <is>
          <t>Check (should be 0)</t>
        </is>
      </c>
      <c r="H10" s="110">
        <f>(H5-'10Q_Debt'!B57)+(H8-'Debt Database'!K21)</f>
        <v/>
      </c>
    </row>
    <row r="12">
      <c r="A12" s="114" t="inlineStr">
        <is>
          <t>By final maturity year (refinancing view, $mm)</t>
        </is>
      </c>
    </row>
    <row r="13">
      <c r="A13" s="135" t="n"/>
      <c r="B13" s="108" t="n">
        <v>2026</v>
      </c>
      <c r="C13" s="108" t="n">
        <v>2027</v>
      </c>
      <c r="D13" s="108" t="n">
        <v>2028</v>
      </c>
      <c r="E13" s="108" t="n">
        <v>2029</v>
      </c>
      <c r="F13" s="108" t="n">
        <v>2030</v>
      </c>
      <c r="G13" s="108" t="n">
        <v>2031</v>
      </c>
      <c r="H13" s="108" t="n">
        <v>2032</v>
      </c>
      <c r="I13" s="135" t="inlineStr">
        <is>
          <t>Total</t>
        </is>
      </c>
      <c r="J13" s="135" t="inlineStr">
        <is>
          <t>Notes</t>
        </is>
      </c>
    </row>
    <row r="14">
      <c r="A14" s="112" t="inlineStr">
        <is>
          <t>DDTL</t>
        </is>
      </c>
      <c r="B14" s="110">
        <f>SUMIFS('Debt Database'!$K$2:$K$20,'Debt Database'!$B$2:$B$20,$A14,'Debt Database'!$X$2:$X$20,B$13)</f>
        <v/>
      </c>
      <c r="C14" s="110">
        <f>SUMIFS('Debt Database'!$K$2:$K$20,'Debt Database'!$B$2:$B$20,$A14,'Debt Database'!$X$2:$X$20,C$13)</f>
        <v/>
      </c>
      <c r="D14" s="110">
        <f>SUMIFS('Debt Database'!$K$2:$K$20,'Debt Database'!$B$2:$B$20,$A14,'Debt Database'!$X$2:$X$20,D$13)</f>
        <v/>
      </c>
      <c r="E14" s="110">
        <f>SUMIFS('Debt Database'!$K$2:$K$20,'Debt Database'!$B$2:$B$20,$A14,'Debt Database'!$X$2:$X$20,E$13)</f>
        <v/>
      </c>
      <c r="F14" s="110">
        <f>SUMIFS('Debt Database'!$K$2:$K$20,'Debt Database'!$B$2:$B$20,$A14,'Debt Database'!$X$2:$X$20,F$13)</f>
        <v/>
      </c>
      <c r="G14" s="110">
        <f>SUMIFS('Debt Database'!$K$2:$K$20,'Debt Database'!$B$2:$B$20,$A14,'Debt Database'!$X$2:$X$20,G$13)</f>
        <v/>
      </c>
      <c r="H14" s="110">
        <f>SUMIFS('Debt Database'!$K$2:$K$20,'Debt Database'!$B$2:$B$20,$A14,'Debt Database'!$X$2:$X$20,H$13)</f>
        <v/>
      </c>
      <c r="I14" s="110">
        <f>SUM(B14:H14)</f>
        <v/>
      </c>
    </row>
    <row r="15">
      <c r="A15" s="112" t="inlineStr">
        <is>
          <t>Senior Notes</t>
        </is>
      </c>
      <c r="B15" s="110">
        <f>SUMIFS('Debt Database'!$K$2:$K$20,'Debt Database'!$B$2:$B$20,$A15,'Debt Database'!$X$2:$X$20,B$13)</f>
        <v/>
      </c>
      <c r="C15" s="110">
        <f>SUMIFS('Debt Database'!$K$2:$K$20,'Debt Database'!$B$2:$B$20,$A15,'Debt Database'!$X$2:$X$20,C$13)</f>
        <v/>
      </c>
      <c r="D15" s="110">
        <f>SUMIFS('Debt Database'!$K$2:$K$20,'Debt Database'!$B$2:$B$20,$A15,'Debt Database'!$X$2:$X$20,D$13)</f>
        <v/>
      </c>
      <c r="E15" s="110">
        <f>SUMIFS('Debt Database'!$K$2:$K$20,'Debt Database'!$B$2:$B$20,$A15,'Debt Database'!$X$2:$X$20,E$13)</f>
        <v/>
      </c>
      <c r="F15" s="110">
        <f>SUMIFS('Debt Database'!$K$2:$K$20,'Debt Database'!$B$2:$B$20,$A15,'Debt Database'!$X$2:$X$20,F$13)</f>
        <v/>
      </c>
      <c r="G15" s="110">
        <f>SUMIFS('Debt Database'!$K$2:$K$20,'Debt Database'!$B$2:$B$20,$A15,'Debt Database'!$X$2:$X$20,G$13)</f>
        <v/>
      </c>
      <c r="H15" s="110">
        <f>SUMIFS('Debt Database'!$K$2:$K$20,'Debt Database'!$B$2:$B$20,$A15,'Debt Database'!$X$2:$X$20,H$13)</f>
        <v/>
      </c>
      <c r="I15" s="110">
        <f>SUM(B15:H15)</f>
        <v/>
      </c>
    </row>
    <row r="16">
      <c r="A16" s="112" t="inlineStr">
        <is>
          <t>Convertible</t>
        </is>
      </c>
      <c r="B16" s="110">
        <f>SUMIFS('Debt Database'!$K$2:$K$20,'Debt Database'!$B$2:$B$20,$A16,'Debt Database'!$X$2:$X$20,B$13)</f>
        <v/>
      </c>
      <c r="C16" s="110">
        <f>SUMIFS('Debt Database'!$K$2:$K$20,'Debt Database'!$B$2:$B$20,$A16,'Debt Database'!$X$2:$X$20,C$13)</f>
        <v/>
      </c>
      <c r="D16" s="110">
        <f>SUMIFS('Debt Database'!$K$2:$K$20,'Debt Database'!$B$2:$B$20,$A16,'Debt Database'!$X$2:$X$20,D$13)</f>
        <v/>
      </c>
      <c r="E16" s="110">
        <f>SUMIFS('Debt Database'!$K$2:$K$20,'Debt Database'!$B$2:$B$20,$A16,'Debt Database'!$X$2:$X$20,E$13)</f>
        <v/>
      </c>
      <c r="F16" s="110">
        <f>SUMIFS('Debt Database'!$K$2:$K$20,'Debt Database'!$B$2:$B$20,$A16,'Debt Database'!$X$2:$X$20,F$13)</f>
        <v/>
      </c>
      <c r="G16" s="110">
        <f>SUMIFS('Debt Database'!$K$2:$K$20,'Debt Database'!$B$2:$B$20,$A16,'Debt Database'!$X$2:$X$20,G$13)</f>
        <v/>
      </c>
      <c r="H16" s="110">
        <f>SUMIFS('Debt Database'!$K$2:$K$20,'Debt Database'!$B$2:$B$20,$A16,'Debt Database'!$X$2:$X$20,H$13)</f>
        <v/>
      </c>
      <c r="I16" s="110">
        <f>SUM(B16:H16)</f>
        <v/>
      </c>
    </row>
    <row r="17">
      <c r="A17" s="112" t="inlineStr">
        <is>
          <t>Revolver</t>
        </is>
      </c>
      <c r="B17" s="110">
        <f>SUMIFS('Debt Database'!$K$2:$K$20,'Debt Database'!$B$2:$B$20,$A17,'Debt Database'!$X$2:$X$20,B$13)</f>
        <v/>
      </c>
      <c r="C17" s="110">
        <f>SUMIFS('Debt Database'!$K$2:$K$20,'Debt Database'!$B$2:$B$20,$A17,'Debt Database'!$X$2:$X$20,C$13)</f>
        <v/>
      </c>
      <c r="D17" s="110">
        <f>SUMIFS('Debt Database'!$K$2:$K$20,'Debt Database'!$B$2:$B$20,$A17,'Debt Database'!$X$2:$X$20,D$13)</f>
        <v/>
      </c>
      <c r="E17" s="110">
        <f>SUMIFS('Debt Database'!$K$2:$K$20,'Debt Database'!$B$2:$B$20,$A17,'Debt Database'!$X$2:$X$20,E$13)</f>
        <v/>
      </c>
      <c r="F17" s="110">
        <f>SUMIFS('Debt Database'!$K$2:$K$20,'Debt Database'!$B$2:$B$20,$A17,'Debt Database'!$X$2:$X$20,F$13)</f>
        <v/>
      </c>
      <c r="G17" s="110">
        <f>SUMIFS('Debt Database'!$K$2:$K$20,'Debt Database'!$B$2:$B$20,$A17,'Debt Database'!$X$2:$X$20,G$13)</f>
        <v/>
      </c>
      <c r="H17" s="110">
        <f>SUMIFS('Debt Database'!$K$2:$K$20,'Debt Database'!$B$2:$B$20,$A17,'Debt Database'!$X$2:$X$20,H$13)</f>
        <v/>
      </c>
      <c r="I17" s="110">
        <f>SUM(B17:H17)</f>
        <v/>
      </c>
    </row>
    <row r="18">
      <c r="A18" s="112" t="inlineStr">
        <is>
          <t>Vendor Financing</t>
        </is>
      </c>
      <c r="B18" s="110">
        <f>SUMIFS('Debt Database'!$K$2:$K$20,'Debt Database'!$B$2:$B$20,$A18,'Debt Database'!$X$2:$X$20,B$13)</f>
        <v/>
      </c>
      <c r="C18" s="110">
        <f>SUMIFS('Debt Database'!$K$2:$K$20,'Debt Database'!$B$2:$B$20,$A18,'Debt Database'!$X$2:$X$20,C$13)</f>
        <v/>
      </c>
      <c r="D18" s="110">
        <f>SUMIFS('Debt Database'!$K$2:$K$20,'Debt Database'!$B$2:$B$20,$A18,'Debt Database'!$X$2:$X$20,D$13)</f>
        <v/>
      </c>
      <c r="E18" s="110">
        <f>SUMIFS('Debt Database'!$K$2:$K$20,'Debt Database'!$B$2:$B$20,$A18,'Debt Database'!$X$2:$X$20,E$13)</f>
        <v/>
      </c>
      <c r="F18" s="110">
        <f>SUMIFS('Debt Database'!$K$2:$K$20,'Debt Database'!$B$2:$B$20,$A18,'Debt Database'!$X$2:$X$20,F$13)</f>
        <v/>
      </c>
      <c r="G18" s="110">
        <f>SUMIFS('Debt Database'!$K$2:$K$20,'Debt Database'!$B$2:$B$20,$A18,'Debt Database'!$X$2:$X$20,G$13)</f>
        <v/>
      </c>
      <c r="H18" s="110">
        <f>SUMIFS('Debt Database'!$K$2:$K$20,'Debt Database'!$B$2:$B$20,$A18,'Debt Database'!$X$2:$X$20,H$13)</f>
        <v/>
      </c>
      <c r="I18" s="110">
        <f>SUM(B18:H18)</f>
        <v/>
      </c>
    </row>
    <row r="19">
      <c r="A19" s="112" t="inlineStr">
        <is>
          <t>Other</t>
        </is>
      </c>
      <c r="B19" s="110">
        <f>SUMIFS('Debt Database'!$K$2:$K$20,'Debt Database'!$B$2:$B$20,$A19,'Debt Database'!$X$2:$X$20,B$13)</f>
        <v/>
      </c>
      <c r="C19" s="110">
        <f>SUMIFS('Debt Database'!$K$2:$K$20,'Debt Database'!$B$2:$B$20,$A19,'Debt Database'!$X$2:$X$20,C$13)</f>
        <v/>
      </c>
      <c r="D19" s="110">
        <f>SUMIFS('Debt Database'!$K$2:$K$20,'Debt Database'!$B$2:$B$20,$A19,'Debt Database'!$X$2:$X$20,D$13)</f>
        <v/>
      </c>
      <c r="E19" s="110">
        <f>SUMIFS('Debt Database'!$K$2:$K$20,'Debt Database'!$B$2:$B$20,$A19,'Debt Database'!$X$2:$X$20,E$13)</f>
        <v/>
      </c>
      <c r="F19" s="110">
        <f>SUMIFS('Debt Database'!$K$2:$K$20,'Debt Database'!$B$2:$B$20,$A19,'Debt Database'!$X$2:$X$20,F$13)</f>
        <v/>
      </c>
      <c r="G19" s="110">
        <f>SUMIFS('Debt Database'!$K$2:$K$20,'Debt Database'!$B$2:$B$20,$A19,'Debt Database'!$X$2:$X$20,G$13)</f>
        <v/>
      </c>
      <c r="H19" s="110">
        <f>SUMIFS('Debt Database'!$K$2:$K$20,'Debt Database'!$B$2:$B$20,$A19,'Debt Database'!$X$2:$X$20,H$13)</f>
        <v/>
      </c>
      <c r="I19" s="110">
        <f>SUM(B19:H19)</f>
        <v/>
      </c>
    </row>
    <row r="20">
      <c r="A20" s="120" t="inlineStr">
        <is>
          <t>Total</t>
        </is>
      </c>
      <c r="B20" s="120">
        <f>SUM(B14:B19)</f>
        <v/>
      </c>
      <c r="C20" s="120">
        <f>SUM(C14:C19)</f>
        <v/>
      </c>
      <c r="D20" s="120">
        <f>SUM(D14:D19)</f>
        <v/>
      </c>
      <c r="E20" s="120">
        <f>SUM(E14:E19)</f>
        <v/>
      </c>
      <c r="F20" s="120">
        <f>SUM(F14:F19)</f>
        <v/>
      </c>
      <c r="G20" s="120">
        <f>SUM(G14:G19)</f>
        <v/>
      </c>
      <c r="H20" s="120">
        <f>SUM(H14:H19)</f>
        <v/>
      </c>
      <c r="I20" s="120">
        <f>SUM(I14:I19)</f>
        <v/>
      </c>
      <c r="J20" s="140" t="n"/>
    </row>
    <row r="21">
      <c r="A21" s="110" t="inlineStr">
        <is>
          <t>Of which bullet (notes + converts)</t>
        </is>
      </c>
      <c r="B21" s="110">
        <f>B15+B16</f>
        <v/>
      </c>
      <c r="C21" s="110">
        <f>C15+C16</f>
        <v/>
      </c>
      <c r="D21" s="110">
        <f>D15+D16</f>
        <v/>
      </c>
      <c r="E21" s="110">
        <f>E15+E16</f>
        <v/>
      </c>
      <c r="F21" s="110">
        <f>F15+F16</f>
        <v/>
      </c>
      <c r="G21" s="110">
        <f>G15+G16</f>
        <v/>
      </c>
      <c r="H21" s="110">
        <f>H15+H16</f>
        <v/>
      </c>
      <c r="I21" s="110">
        <f>I15+I16</f>
        <v/>
      </c>
    </row>
    <row r="22">
      <c r="A22" s="110" t="inlineStr">
        <is>
          <t>% of total</t>
        </is>
      </c>
      <c r="B22" s="136">
        <f>B20/$I$20</f>
        <v/>
      </c>
      <c r="C22" s="136">
        <f>C20/$I$20</f>
        <v/>
      </c>
      <c r="D22" s="136">
        <f>D20/$I$20</f>
        <v/>
      </c>
      <c r="E22" s="136">
        <f>E20/$I$20</f>
        <v/>
      </c>
      <c r="F22" s="136">
        <f>F20/$I$20</f>
        <v/>
      </c>
      <c r="G22" s="136">
        <f>G20/$I$20</f>
        <v/>
      </c>
      <c r="H22" s="136">
        <f>H20/$I$20</f>
        <v/>
      </c>
    </row>
    <row r="23">
      <c r="A23" s="110" t="inlineStr">
        <is>
          <t>Check: total vs Debt Databse</t>
        </is>
      </c>
      <c r="I23" s="110">
        <f>I20-'Debt Database'!K21</f>
        <v/>
      </c>
    </row>
    <row r="46">
      <c r="B46" s="141" t="inlineStr">
        <is>
          <t>Source: 10-Q Q2'26 Note 10; Debt Database. Amortizing debt (DDTLs, vendor financing) is shown at final maturity; actual balances will be lower by then. Bullets = senior notes + convertibles.</t>
        </is>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G27"/>
  <sheetViews>
    <sheetView showGridLines="0" zoomScale="90" zoomScaleNormal="90" workbookViewId="0">
      <pane ySplit="7" topLeftCell="A8" activePane="bottomLeft" state="frozen"/>
      <selection pane="bottomLeft" activeCell="G18" sqref="G18"/>
    </sheetView>
  </sheetViews>
  <sheetFormatPr baseColWidth="10" defaultRowHeight="15"/>
  <cols>
    <col width="42" customWidth="1" style="186" min="1" max="1"/>
    <col width="7" customWidth="1" style="186" min="2" max="2"/>
    <col width="11" customWidth="1" style="186" min="3" max="3"/>
    <col width="14" customWidth="1" style="186" min="4" max="4"/>
    <col width="20" customWidth="1" style="186" min="5" max="5"/>
    <col width="15.6640625" customWidth="1" style="186" min="6" max="6"/>
    <col width="75" customWidth="1" style="186" min="7" max="7"/>
  </cols>
  <sheetData>
    <row r="1" ht="17" customHeight="1" s="186">
      <c r="A1" s="142" t="inlineStr">
        <is>
          <t>Scenarios (downside cases)</t>
        </is>
      </c>
      <c r="B1" s="143" t="n"/>
      <c r="C1" s="143" t="n"/>
      <c r="D1" s="143" t="n"/>
      <c r="E1" s="143" t="n"/>
      <c r="F1" s="143" t="n"/>
      <c r="G1" s="143" t="n"/>
    </row>
    <row r="2">
      <c r="A2" s="144" t="inlineStr">
        <is>
          <t>Set C4 to run the whole model under each case; column F (Active) feeds the model. Capex is held at base in all cases (largely committed GPU orders).</t>
        </is>
      </c>
      <c r="B2" s="143" t="n"/>
      <c r="C2" s="143" t="n"/>
      <c r="D2" s="143" t="n"/>
      <c r="E2" s="143" t="n"/>
      <c r="F2" s="143" t="n"/>
      <c r="G2" s="143" t="n"/>
    </row>
    <row r="3">
      <c r="A3" s="143" t="n"/>
      <c r="B3" s="143" t="n"/>
      <c r="C3" s="143" t="n"/>
      <c r="D3" s="143" t="n"/>
      <c r="E3" s="143" t="n"/>
      <c r="F3" s="143" t="n"/>
      <c r="G3" s="143" t="n"/>
    </row>
    <row r="4">
      <c r="A4" s="143" t="inlineStr">
        <is>
          <t>Active scenario (1 = Base, 2 = Downside A, 3 = Downside B)</t>
        </is>
      </c>
      <c r="B4" s="143" t="n"/>
      <c r="C4" s="145" t="n">
        <v>1</v>
      </c>
      <c r="D4" s="143" t="n"/>
      <c r="E4" s="143" t="n"/>
      <c r="F4" s="143" t="n"/>
      <c r="G4" s="143" t="n"/>
    </row>
    <row r="5">
      <c r="A5" s="143" t="inlineStr">
        <is>
          <t>Active scenario name</t>
        </is>
      </c>
      <c r="B5" s="143" t="n"/>
      <c r="C5" s="146">
        <f>INDEX(C7:E7,$C$4)</f>
        <v/>
      </c>
      <c r="D5" s="143" t="n"/>
      <c r="E5" s="143" t="n"/>
      <c r="F5" s="143" t="n"/>
      <c r="G5" s="143" t="n"/>
    </row>
    <row r="6">
      <c r="A6" s="143" t="n"/>
      <c r="B6" s="143" t="n"/>
      <c r="C6" s="143" t="n"/>
      <c r="D6" s="143" t="n"/>
      <c r="E6" s="143" t="n"/>
      <c r="F6" s="143" t="n"/>
      <c r="G6" s="143" t="n"/>
    </row>
    <row r="7" ht="28" customHeight="1" s="186">
      <c r="A7" s="147" t="inlineStr">
        <is>
          <t>Driver</t>
        </is>
      </c>
      <c r="B7" s="147" t="inlineStr">
        <is>
          <t>Unit</t>
        </is>
      </c>
      <c r="C7" s="148" t="inlineStr">
        <is>
          <t>Base</t>
        </is>
      </c>
      <c r="D7" s="148" t="inlineStr">
        <is>
          <t>Downside A: GPU pricing</t>
        </is>
      </c>
      <c r="E7" s="148" t="inlineStr">
        <is>
          <t>Downside B: delays + pricing + rates</t>
        </is>
      </c>
      <c r="F7" s="149" t="inlineStr">
        <is>
          <t>Active</t>
        </is>
      </c>
      <c r="G7" s="147" t="inlineStr">
        <is>
          <t>Rationale</t>
        </is>
      </c>
    </row>
    <row r="8" ht="26" customHeight="1" s="186">
      <c r="A8" s="150" t="inlineStr">
        <is>
          <t>2H26 revenue: change vs guidance midpoint</t>
        </is>
      </c>
      <c r="B8" s="151" t="inlineStr">
        <is>
          <t>% chg</t>
        </is>
      </c>
      <c r="C8" s="152" t="n">
        <v>0</v>
      </c>
      <c r="D8" s="152" t="n">
        <v>0</v>
      </c>
      <c r="E8" s="152" t="n">
        <v>-0.1</v>
      </c>
      <c r="F8" s="153">
        <f>INDEX(C8:E8,$C$4)</f>
        <v/>
      </c>
      <c r="G8" s="154" t="inlineStr">
        <is>
          <t>Delivery delays (power, data-center readiness) push revenue out; CFO flagged a complex supply chain (Guidance tab, para 1)</t>
        </is>
      </c>
    </row>
    <row r="9" ht="26" customHeight="1" s="186">
      <c r="A9" s="150" t="inlineStr">
        <is>
          <t>FY27 revenue: change vs exiting-2026 ARR</t>
        </is>
      </c>
      <c r="B9" s="151" t="inlineStr">
        <is>
          <t>% chg</t>
        </is>
      </c>
      <c r="C9" s="152" t="n">
        <v>0</v>
      </c>
      <c r="D9" s="152" t="n">
        <v>0</v>
      </c>
      <c r="E9" s="152" t="n">
        <v>-0.2</v>
      </c>
      <c r="F9" s="153">
        <f>INDEX(C9:E9,$C$4)</f>
        <v/>
      </c>
      <c r="G9" s="154" t="inlineStr">
        <is>
          <t>FY27 revenue below the exiting-2026 ARR run-rate: delays plus weaker pricing on re-contracting</t>
        </is>
      </c>
    </row>
    <row r="10" ht="26" customHeight="1" s="186">
      <c r="A10" s="150" t="inlineStr">
        <is>
          <t>Adj. EBITDA margin (level)</t>
        </is>
      </c>
      <c r="B10" s="151" t="inlineStr">
        <is>
          <t>%</t>
        </is>
      </c>
      <c r="C10" s="155">
        <f>'PR_Q2-26'!D17/'PR_Q2-26'!D18</f>
        <v/>
      </c>
      <c r="D10" s="156" t="n">
        <v>0.45</v>
      </c>
      <c r="E10" s="156" t="n">
        <v>0.45</v>
      </c>
      <c r="F10" s="157">
        <f>INDEX(C10:E10,$C$4)</f>
        <v/>
      </c>
      <c r="G10" s="154" t="inlineStr">
        <is>
          <t>Base = 1H26 actual. Downside: GPU rental prices fall as newer generations arrive; margin already down from 64% (FY24) to 57%</t>
        </is>
      </c>
    </row>
    <row r="11" ht="26" customHeight="1" s="186">
      <c r="A11" s="150" t="inlineStr">
        <is>
          <t>SOFR shock on floating-rate debt</t>
        </is>
      </c>
      <c r="B11" s="151" t="inlineStr">
        <is>
          <t>bp</t>
        </is>
      </c>
      <c r="C11" s="158" t="n">
        <v>0</v>
      </c>
      <c r="D11" s="158" t="n">
        <v>0</v>
      </c>
      <c r="E11" s="158" t="n">
        <v>100</v>
      </c>
      <c r="F11" s="159">
        <f>INDEX(C11:E11,$C$4)</f>
        <v/>
      </c>
      <c r="G11" s="154" t="inlineStr">
        <is>
          <t>Applied to floating-rate debt (Debt Database row 53, ~13.2bn); DDTL 3.0 is &gt;=75% swapped, so slightly conservative</t>
        </is>
      </c>
    </row>
    <row r="12" ht="26" customHeight="1" s="186">
      <c r="A12" s="150" t="inlineStr">
        <is>
          <t>New debt interest rate</t>
        </is>
      </c>
      <c r="B12" s="151" t="inlineStr">
        <is>
          <t>%</t>
        </is>
      </c>
      <c r="C12" s="156" t="n">
        <v>0.095</v>
      </c>
      <c r="D12" s="156" t="n">
        <v>0.11</v>
      </c>
      <c r="E12" s="156" t="n">
        <v>0.12</v>
      </c>
      <c r="F12" s="157">
        <f>INDEX(C12:E12,$C$4)</f>
        <v/>
      </c>
      <c r="G12" s="154" t="inlineStr">
        <is>
          <t>Base: 2026 new notes 9.625-9.75%. Downside: credit spreads widen (DDTL 5.5 priced in a 'dislocated' week for credit)</t>
        </is>
      </c>
    </row>
    <row r="15" ht="29" customHeight="1" s="186">
      <c r="A15" s="147" t="inlineStr">
        <is>
          <t>FY27E credit metrics</t>
        </is>
      </c>
      <c r="B15" s="147" t="n"/>
      <c r="C15" s="148" t="inlineStr">
        <is>
          <t>Base</t>
        </is>
      </c>
      <c r="D15" s="148" t="inlineStr">
        <is>
          <t>Downside A</t>
        </is>
      </c>
      <c r="E15" s="148" t="inlineStr">
        <is>
          <t>Downside B</t>
        </is>
      </c>
      <c r="F15" s="149" t="inlineStr">
        <is>
          <t>Active (live)</t>
        </is>
      </c>
      <c r="G15" s="147" t="inlineStr">
        <is>
          <t>Note</t>
        </is>
      </c>
    </row>
    <row r="16">
      <c r="A16" s="172" t="inlineStr">
        <is>
          <t>New financing required (2H26 + FY27)</t>
        </is>
      </c>
      <c r="C16" s="173" t="n">
        <v>44839.9382598077</v>
      </c>
      <c r="D16" s="173" t="n">
        <v>48906.5526799531</v>
      </c>
      <c r="E16" s="173" t="n">
        <v>51693.1675984952</v>
      </c>
      <c r="F16" s="170">
        <f>'Funding Need'!D24</f>
        <v/>
      </c>
      <c r="G16" s="174" t="inlineStr">
        <is>
          <t>C:E = values pasted from column F for each case (switch C4 to 1/2/3); re-paste if any input changes - see check row 27</t>
        </is>
      </c>
    </row>
    <row r="17">
      <c r="A17" s="172" t="inlineStr">
        <is>
          <t>FY27 Adj. EBITDA</t>
        </is>
      </c>
      <c r="C17" s="173" t="n">
        <v>10890.3932946486</v>
      </c>
      <c r="D17" s="173" t="n">
        <v>8550</v>
      </c>
      <c r="E17" s="173" t="n">
        <v>6840</v>
      </c>
      <c r="F17" s="170">
        <f>'Funding Need'!C61</f>
        <v/>
      </c>
      <c r="G17" s="154" t="inlineStr">
        <is>
          <t>FY27 revenue held at exiting-2026 ARR (no growth) - conservative vs 37bn FY27 capex</t>
        </is>
      </c>
    </row>
    <row r="18">
      <c r="A18" s="172" t="inlineStr">
        <is>
          <t>FY27 interest: existing debt + facility draws</t>
        </is>
      </c>
      <c r="C18" s="173" t="n">
        <v>3390.71543569339</v>
      </c>
      <c r="D18" s="173" t="n">
        <v>3390.71543569339</v>
      </c>
      <c r="E18" s="173" t="n">
        <v>3522.77543569339</v>
      </c>
      <c r="F18" s="170">
        <f>'Funding Need'!C8</f>
        <v/>
      </c>
      <c r="G18" s="154" t="n"/>
    </row>
    <row r="19">
      <c r="A19" s="172" t="inlineStr">
        <is>
          <t>FY27 interest: new debt</t>
        </is>
      </c>
      <c r="C19" s="173" t="n">
        <v>2448.48575941012</v>
      </c>
      <c r="D19" s="173" t="n">
        <v>3116.9302804092</v>
      </c>
      <c r="E19" s="173" t="n">
        <v>3595.44677894133</v>
      </c>
      <c r="F19" s="170">
        <f>'Funding Need'!C25</f>
        <v/>
      </c>
      <c r="G19" s="154" t="n"/>
    </row>
    <row r="20">
      <c r="A20" s="175" t="inlineStr">
        <is>
          <t>FY27 total interest</t>
        </is>
      </c>
      <c r="B20" s="83" t="n"/>
      <c r="C20" s="176" t="n">
        <v>5839.20119510352</v>
      </c>
      <c r="D20" s="176" t="n">
        <v>6507.64571610259</v>
      </c>
      <c r="E20" s="176" t="n">
        <v>7118.22221463473</v>
      </c>
      <c r="F20" s="171">
        <f>F18+F19</f>
        <v/>
      </c>
      <c r="G20" s="154" t="n"/>
    </row>
    <row r="21" ht="26" customHeight="1" s="186">
      <c r="A21" s="172" t="inlineStr">
        <is>
          <t>End-2027 debt</t>
        </is>
      </c>
      <c r="C21" s="173" t="n">
        <v>82022.93825980771</v>
      </c>
      <c r="D21" s="173" t="n">
        <v>86089.55267995311</v>
      </c>
      <c r="E21" s="173" t="n">
        <v>88876.1675984951</v>
      </c>
      <c r="F21" s="170">
        <f>'Funding Need'!C38+'Funding Need'!B14+'Funding Need'!D24</f>
        <v/>
      </c>
      <c r="G21" s="154" t="inlineStr">
        <is>
          <t>Existing debt after maturities (FN C38) + facility draws (FN B14) + new financing (FN D24); new debt not repaid before 2028</t>
        </is>
      </c>
    </row>
    <row r="22">
      <c r="A22" s="172" t="inlineStr">
        <is>
          <t>Less: minimum cash</t>
        </is>
      </c>
      <c r="C22" s="173" t="n">
        <v>2000</v>
      </c>
      <c r="D22" s="173" t="n">
        <v>2000</v>
      </c>
      <c r="E22" s="173" t="n">
        <v>2000</v>
      </c>
      <c r="F22" s="170">
        <f>'Funding Need'!B9</f>
        <v/>
      </c>
      <c r="G22" s="154" t="inlineStr">
        <is>
          <t>Model keeps a 2,000 minimum cash balance; all other cash is spent</t>
        </is>
      </c>
    </row>
    <row r="23">
      <c r="A23" s="175" t="inlineStr">
        <is>
          <t>End-2027 net debt</t>
        </is>
      </c>
      <c r="B23" s="83" t="n"/>
      <c r="C23" s="176" t="n">
        <v>80022.93825980771</v>
      </c>
      <c r="D23" s="176" t="n">
        <v>84089.55267995311</v>
      </c>
      <c r="E23" s="176" t="n">
        <v>86876.1675984951</v>
      </c>
      <c r="F23" s="171">
        <f>F21-F22</f>
        <v/>
      </c>
      <c r="G23" s="154" t="n"/>
    </row>
    <row r="24">
      <c r="A24" s="177" t="inlineStr">
        <is>
          <t>Debt / FY27 Adj. EBITDA</t>
        </is>
      </c>
      <c r="C24" s="178" t="n">
        <v>7.53167824527629</v>
      </c>
      <c r="D24" s="178" t="n">
        <v>10.0689535298191</v>
      </c>
      <c r="E24" s="178" t="n">
        <v>12.993591754166</v>
      </c>
      <c r="F24" s="179">
        <f>F21/F17</f>
        <v/>
      </c>
      <c r="G24" s="154" t="n"/>
    </row>
    <row r="25">
      <c r="A25" s="177" t="inlineStr">
        <is>
          <t>Net debt / FY27 Adj. EBITDA</t>
        </is>
      </c>
      <c r="C25" s="178" t="n">
        <v>7.34803014865679</v>
      </c>
      <c r="D25" s="178" t="n">
        <v>9.835035401164101</v>
      </c>
      <c r="E25" s="178" t="n">
        <v>12.7011940933472</v>
      </c>
      <c r="F25" s="179">
        <f>F23/F17</f>
        <v/>
      </c>
      <c r="G25" s="154" t="n"/>
    </row>
    <row r="26">
      <c r="A26" s="177" t="inlineStr">
        <is>
          <t>Adj. EBITDA / interest</t>
        </is>
      </c>
      <c r="C26" s="180" t="n">
        <v>1.86504847679864</v>
      </c>
      <c r="D26" s="180" t="n">
        <v>1.31383919361864</v>
      </c>
      <c r="E26" s="180" t="n">
        <v>0.960914086938349</v>
      </c>
      <c r="F26" s="181">
        <f>F17/F20</f>
        <v/>
      </c>
      <c r="G26" s="154" t="inlineStr">
        <is>
          <t>Below 1.0x = EBITDA does not cover interest</t>
        </is>
      </c>
    </row>
    <row r="27">
      <c r="A27" s="182" t="inlineStr">
        <is>
          <t>Check: active column vs saved column for that case (should be 0)</t>
        </is>
      </c>
      <c r="B27" s="183" t="n"/>
      <c r="C27" s="183" t="n"/>
      <c r="D27" s="183" t="n"/>
      <c r="E27" s="183" t="n"/>
      <c r="F27" s="184">
        <f>ROUND(SUMPRODUCT(ABS(F16:F26-INDEX(C16:E26,0,$C$4))),3)</f>
        <v/>
      </c>
      <c r="G27" s="183"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J28"/>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 customWidth="1" style="186" min="1" max="1"/>
    <col width="10" customWidth="1" style="186" min="2" max="2"/>
    <col width="36" customWidth="1" style="186" min="3" max="3"/>
    <col width="11" customWidth="1" style="186" min="4" max="4"/>
    <col width="10" customWidth="1" style="186" min="5" max="5"/>
    <col width="22" customWidth="1" style="186" min="6" max="6"/>
    <col width="32" customWidth="1" style="186" min="7" max="7"/>
    <col width="40" customWidth="1" style="186" min="8" max="8"/>
    <col width="32" customWidth="1" style="186" min="9" max="9"/>
    <col width="40" customWidth="1" style="186" min="10" max="10"/>
  </cols>
  <sheetData>
    <row r="1">
      <c r="A1" s="192" t="inlineStr">
        <is>
          <t>Assumptions Log</t>
        </is>
      </c>
    </row>
    <row r="2">
      <c r="A2" s="193">
        <f>"Every input that is not copied from a filing. Value (column D) links to the model. Impact = change vs base case (new financing "&amp;TEXT('Funding Need'!D24,"#,##0")&amp;"; FY27 debt / Adj. EBITDA "&amp;TEXT(Scenarios!C24,"0.0")&amp;"x; Adj. EBITDA / interest "&amp;TEXT(Scenarios!C26,"0.00")&amp;"x), one assumption at a time."</f>
        <v/>
      </c>
    </row>
    <row r="4" ht="18" customHeight="1" s="186">
      <c r="A4" s="194" t="inlineStr">
        <is>
          <t>#</t>
        </is>
      </c>
      <c r="B4" s="194" t="inlineStr">
        <is>
          <t>Area</t>
        </is>
      </c>
      <c r="C4" s="194" t="inlineStr">
        <is>
          <t>Assumption</t>
        </is>
      </c>
      <c r="D4" s="195" t="inlineStr">
        <is>
          <t>Value</t>
        </is>
      </c>
      <c r="E4" s="194" t="inlineStr">
        <is>
          <t>Unit</t>
        </is>
      </c>
      <c r="F4" s="194" t="inlineStr">
        <is>
          <t>Where used</t>
        </is>
      </c>
      <c r="G4" s="194" t="inlineStr">
        <is>
          <t>Source / basis</t>
        </is>
      </c>
      <c r="H4" s="194" t="inlineStr">
        <is>
          <t>Rationale</t>
        </is>
      </c>
      <c r="I4" s="194" t="inlineStr">
        <is>
          <t>Alternatives considered</t>
        </is>
      </c>
      <c r="J4" s="194" t="inlineStr">
        <is>
          <t>Impact if wrong</t>
        </is>
      </c>
    </row>
    <row r="5">
      <c r="A5" s="196" t="n">
        <v>1</v>
      </c>
      <c r="B5" s="197" t="inlineStr">
        <is>
          <t>Scope</t>
        </is>
      </c>
      <c r="C5" s="197" t="inlineStr">
        <is>
          <t>Analysis date: use only information public on or before this date</t>
        </is>
      </c>
      <c r="D5" s="198">
        <f>'Debt Database'!B24</f>
        <v/>
      </c>
      <c r="E5" s="197" t="inlineStr">
        <is>
          <t>date</t>
        </is>
      </c>
      <c r="F5" s="197" t="inlineStr">
        <is>
          <t>All tabs; Debt Database B24</t>
        </is>
      </c>
      <c r="G5" s="197" t="inlineStr">
        <is>
          <t>Q2'26 10-Q filed 8/12/2026</t>
        </is>
      </c>
      <c r="H5" s="197" t="inlineStr">
        <is>
          <t>Day after the latest 10-Q: full Q2 financials plus subsequent events known by then; avoids look-ahead bias</t>
        </is>
      </c>
      <c r="I5" s="197" t="inlineStr">
        <is>
          <t>7/1/2026 (before Q2 results)</t>
        </is>
      </c>
      <c r="J5" s="197" t="inlineStr">
        <is>
          <t>Including the Sep-26 converts or Q3 results would mix in information not available on the date</t>
        </is>
      </c>
    </row>
    <row r="6">
      <c r="A6" s="196" t="n">
        <v>2</v>
      </c>
      <c r="B6" s="197" t="inlineStr">
        <is>
          <t>Debt</t>
        </is>
      </c>
      <c r="C6" s="197" t="inlineStr">
        <is>
          <t>DDTL 5.5 effective rate</t>
        </is>
      </c>
      <c r="D6" s="199">
        <f>'Debt Database'!B26</f>
        <v/>
      </c>
      <c r="E6" s="197" t="inlineStr">
        <is>
          <t>%</t>
        </is>
      </c>
      <c r="F6" s="197" t="inlineStr">
        <is>
          <t>Debt Database W20</t>
        </is>
      </c>
      <c r="G6" s="197" t="inlineStr">
        <is>
          <t>8-K: Term SOFR + 5.50% (0% floor)</t>
        </is>
      </c>
      <c r="H6" s="197" t="inlineStr">
        <is>
          <t>DDTL 5.0 (SOFR + 4.50%) shows a 9% effective rate in the 10-Q; 1.00% wider spread -&gt; ~10%</t>
        </is>
      </c>
      <c r="I6" s="197" t="inlineStr">
        <is>
          <t>Coupon only (SOFR + 5.50%)</t>
        </is>
      </c>
      <c r="J6" s="197" t="inlineStr">
        <is>
          <t>+/-1pt = +/-$12m a year of interest; immaterial</t>
        </is>
      </c>
    </row>
    <row r="7">
      <c r="A7" s="196" t="n">
        <v>3</v>
      </c>
      <c r="B7" s="197" t="inlineStr">
        <is>
          <t>Debt</t>
        </is>
      </c>
      <c r="C7" s="197" t="inlineStr">
        <is>
          <t>Debt measured at principal, not carrying value</t>
        </is>
      </c>
      <c r="D7" s="200">
        <f>'Debt Database'!K21</f>
        <v/>
      </c>
      <c r="E7" s="197" t="inlineStr">
        <is>
          <t>$mm</t>
        </is>
      </c>
      <c r="F7" s="197" t="inlineStr">
        <is>
          <t>Debt Database K21; Metrics; Funding Need</t>
        </is>
      </c>
      <c r="G7" s="197" t="inlineStr">
        <is>
          <t>10-Q Note 10 Table 1 (principal by instrument)</t>
        </is>
      </c>
      <c r="H7" s="197" t="inlineStr">
        <is>
          <t>Principal is what must be repaid; unamortized discount ($483m) is an accounting item</t>
        </is>
      </c>
      <c r="I7" s="197" t="inlineStr">
        <is>
          <t>Carrying value (net of discount)</t>
        </is>
      </c>
      <c r="J7" s="197" t="inlineStr">
        <is>
          <t>Carrying value lowers debt by $0.5bn (~0.1x leverage)</t>
        </is>
      </c>
    </row>
    <row r="8">
      <c r="A8" s="196" t="n">
        <v>4</v>
      </c>
      <c r="B8" s="197" t="inlineStr">
        <is>
          <t>Debt</t>
        </is>
      </c>
      <c r="C8" s="197" t="inlineStr">
        <is>
          <t>Interest on existing debt at 10-Q effective rates (weighted average)</t>
        </is>
      </c>
      <c r="D8" s="199">
        <f>'Debt Database'!W22</f>
        <v/>
      </c>
      <c r="E8" s="197" t="inlineStr">
        <is>
          <t>%</t>
        </is>
      </c>
      <c r="F8" s="197" t="inlineStr">
        <is>
          <t>Funding Need B40</t>
        </is>
      </c>
      <c r="G8" s="197" t="inlineStr">
        <is>
          <t>10-Q Note 10 Table 1 effective rates (whole %)</t>
        </is>
      </c>
      <c r="H8" s="197" t="inlineStr">
        <is>
          <t>Effective rates include discount amortization and fees: closest to reported interest expense</t>
        </is>
      </c>
      <c r="I8" s="197" t="inlineStr">
        <is>
          <t>Coupons; Q3'26 interest guidance ($860-940m)</t>
        </is>
      </c>
      <c r="J8" s="197" t="inlineStr">
        <is>
          <t>Rates are rounded to whole %: +/-0.5pt on $38bn = +/-$190m a year</t>
        </is>
      </c>
    </row>
    <row r="9">
      <c r="A9" s="196" t="n">
        <v>5</v>
      </c>
      <c r="B9" s="197" t="inlineStr">
        <is>
          <t>Debt</t>
        </is>
      </c>
      <c r="C9" s="197" t="inlineStr">
        <is>
          <t>Floating-rate debt base for the SOFR shock</t>
        </is>
      </c>
      <c r="D9" s="200">
        <f>'Debt Database'!B53</f>
        <v/>
      </c>
      <c r="E9" s="197" t="inlineStr">
        <is>
          <t>$mm</t>
        </is>
      </c>
      <c r="F9" s="197" t="inlineStr">
        <is>
          <t>Funding Need row 42</t>
        </is>
      </c>
      <c r="G9" s="197" t="inlineStr">
        <is>
          <t>Debt Database rate-type column</t>
        </is>
      </c>
      <c r="H9" s="197" t="inlineStr">
        <is>
          <t>Rows flagged Floating; hedges not netted (conservative)</t>
        </is>
      </c>
      <c r="I9" s="197" t="inlineStr">
        <is>
          <t>Net of DDTL 3.0 swaps (&gt;=75%), add DDTL 4.0 floating tranche</t>
        </is>
      </c>
      <c r="J9" s="197" t="inlineStr">
        <is>
          <t>+100bp = +$132m a year; netting DDTL 3.0 swaps cuts it by ~$17m</t>
        </is>
      </c>
    </row>
    <row r="10">
      <c r="A10" s="196" t="n">
        <v>6</v>
      </c>
      <c r="B10" s="197" t="inlineStr">
        <is>
          <t>Funding</t>
        </is>
      </c>
      <c r="C10" s="197" t="inlineStr">
        <is>
          <t>Capex on the company's definition, not cash capex</t>
        </is>
      </c>
      <c r="D10" s="200">
        <f>'Funding Need'!B32</f>
        <v/>
      </c>
      <c r="E10" s="197" t="inlineStr">
        <is>
          <t>$mm (1H26)</t>
        </is>
      </c>
      <c r="F10" s="197" t="inlineStr">
        <is>
          <t>Funding Need rows 29-33</t>
        </is>
      </c>
      <c r="G10" s="197" t="inlineStr">
        <is>
          <t>Earnings Presentation slide 16 (definition and calculation)</t>
        </is>
      </c>
      <c r="H10" s="197" t="inlineStr">
        <is>
          <t>Guidance is given on this basis, so 2H26 = guidance - 1H26 is like for like</t>
        </is>
      </c>
      <c r="I10" s="197" t="inlineStr">
        <is>
          <t>Cash capex (1H26 $14.1bn, cash flow statement)</t>
        </is>
      </c>
      <c r="J10" s="197" t="inlineStr">
        <is>
          <t>Company basis exceeded cash capex by $2.0bn in 1H26 (finance leases, CIP timing): near-term need may be overstated</t>
        </is>
      </c>
    </row>
    <row r="11">
      <c r="A11" s="196" t="n">
        <v>7</v>
      </c>
      <c r="B11" s="197" t="inlineStr">
        <is>
          <t>Funding</t>
        </is>
      </c>
      <c r="C11" s="197" t="inlineStr">
        <is>
          <t>FY26 capex at guidance midpoint ($35-39bn)</t>
        </is>
      </c>
      <c r="D11" s="200">
        <f>'Funding Need'!B31</f>
        <v/>
      </c>
      <c r="E11" s="197" t="inlineStr">
        <is>
          <t>$mm</t>
        </is>
      </c>
      <c r="F11" s="197" t="inlineStr">
        <is>
          <t>Funding Need B31 -&gt; 2H26 capex B33</t>
        </is>
      </c>
      <c r="G11" s="197" t="inlineStr">
        <is>
          <t>Outlook Presentation (Guidance tab E9)</t>
        </is>
      </c>
      <c r="H11" s="197" t="inlineStr">
        <is>
          <t>Midpoint of the company's own range</t>
        </is>
      </c>
      <c r="I11" s="197" t="inlineStr">
        <is>
          <t>High end $39bn</t>
        </is>
      </c>
      <c r="J11" s="197" t="inlineStr">
        <is>
          <t>High end: +$2.3bn new financing; FY27 leverage 7.7x</t>
        </is>
      </c>
    </row>
    <row r="12">
      <c r="A12" s="196" t="n">
        <v>8</v>
      </c>
      <c r="B12" s="197" t="inlineStr">
        <is>
          <t>Funding</t>
        </is>
      </c>
      <c r="C12" s="197" t="inlineStr">
        <is>
          <t>FY27 capex flat at FY26 midpoint</t>
        </is>
      </c>
      <c r="D12" s="200">
        <f>'Funding Need'!C33</f>
        <v/>
      </c>
      <c r="E12" s="197" t="inlineStr">
        <is>
          <t>$mm</t>
        </is>
      </c>
      <c r="F12" s="197" t="inlineStr">
        <is>
          <t>Funding Need C33</t>
        </is>
      </c>
      <c r="G12" s="197" t="inlineStr">
        <is>
          <t>No FY27 guidance; no public consensus found dated before 8/13</t>
        </is>
      </c>
      <c r="H12" s="197" t="inlineStr">
        <is>
          <t>Neutral: keeps capacity build at the 2026 pace</t>
        </is>
      </c>
      <c r="I12" s="197" t="inlineStr">
        <is>
          <t>Growth with power targets (&gt;3 GW end-2027); consensus</t>
        </is>
      </c>
      <c r="J12" s="197" t="inlineStr">
        <is>
          <t>Each +$5bn: +$5.2bn new financing; leverage 8.0x</t>
        </is>
      </c>
    </row>
    <row r="13">
      <c r="A13" s="196" t="n">
        <v>9</v>
      </c>
      <c r="B13" s="197" t="inlineStr">
        <is>
          <t>Funding</t>
        </is>
      </c>
      <c r="C13" s="197" t="inlineStr">
        <is>
          <t>2H26 revenue = FY26 guidance midpoint less 1H26 actual</t>
        </is>
      </c>
      <c r="D13" s="200">
        <f>'Funding Need'!B57</f>
        <v/>
      </c>
      <c r="E13" s="197" t="inlineStr">
        <is>
          <t>$mm</t>
        </is>
      </c>
      <c r="F13" s="197" t="inlineStr">
        <is>
          <t>Funding Need B57</t>
        </is>
      </c>
      <c r="G13" s="197" t="inlineStr">
        <is>
          <t>Outlook Presentation ($12.4-13.2bn); Q2'26 press release</t>
        </is>
      </c>
      <c r="H13" s="197" t="inlineStr">
        <is>
          <t>Company guidance, consistent with the capex basis</t>
        </is>
      </c>
      <c r="I13" s="197" t="inlineStr">
        <is>
          <t>Low end $12.4bn</t>
        </is>
      </c>
      <c r="J13" s="197" t="inlineStr">
        <is>
          <t>-10%: +$0.5bn new financing</t>
        </is>
      </c>
    </row>
    <row r="14">
      <c r="A14" s="196" t="n">
        <v>10</v>
      </c>
      <c r="B14" s="197" t="inlineStr">
        <is>
          <t>Funding</t>
        </is>
      </c>
      <c r="C14" s="197" t="inlineStr">
        <is>
          <t>FY27 revenue held at exiting-2026 ARR midpoint (no growth)</t>
        </is>
      </c>
      <c r="D14" s="200">
        <f>'Funding Need'!C57</f>
        <v/>
      </c>
      <c r="E14" s="197" t="inlineStr">
        <is>
          <t>$mm</t>
        </is>
      </c>
      <c r="F14" s="197" t="inlineStr">
        <is>
          <t>Funding Need C57</t>
        </is>
      </c>
      <c r="G14" s="197" t="inlineStr">
        <is>
          <t>Outlook Presentation ($18.5-19.5bn exiting ARR)</t>
        </is>
      </c>
      <c r="H14" s="197" t="inlineStr">
        <is>
          <t>Only company figure for the 2027 run-rate; conservative</t>
        </is>
      </c>
      <c r="I14" s="197" t="inlineStr">
        <is>
          <t>Grow with active power (~$25bn at 2.4 GW average)</t>
        </is>
      </c>
      <c r="J14" s="197" t="inlineStr">
        <is>
          <t>At $25bn: -$3.6bn new financing; leverage 5.5x; coverage 2.53x (base leverage is overstated)</t>
        </is>
      </c>
    </row>
    <row r="15">
      <c r="A15" s="196" t="n">
        <v>11</v>
      </c>
      <c r="B15" s="197" t="inlineStr">
        <is>
          <t>Funding</t>
        </is>
      </c>
      <c r="C15" s="197" t="inlineStr">
        <is>
          <t>Adj. EBITDA margin = 1H26 actual, flat in FY27</t>
        </is>
      </c>
      <c r="D15" s="199">
        <f>Scenarios!C10</f>
        <v/>
      </c>
      <c r="E15" s="197" t="inlineStr">
        <is>
          <t>%</t>
        </is>
      </c>
      <c r="F15" s="197" t="inlineStr">
        <is>
          <t>Scenarios C10 -&gt; Funding Need row 60</t>
        </is>
      </c>
      <c r="G15" s="197" t="inlineStr">
        <is>
          <t>Q2'26 press release (2,667 / 4,653)</t>
        </is>
      </c>
      <c r="H15" s="197" t="inlineStr">
        <is>
          <t>Latest actual; margin fell from 64% (FY24) to 57%</t>
        </is>
      </c>
      <c r="I15" s="197" t="inlineStr">
        <is>
          <t>Q2'26 alone (59%); CFO guides to expanding margins</t>
        </is>
      </c>
      <c r="J15" s="197" t="inlineStr">
        <is>
          <t>-5pt: +$1.5bn new financing; coverage 1.68x</t>
        </is>
      </c>
    </row>
    <row r="16">
      <c r="A16" s="196" t="n">
        <v>12</v>
      </c>
      <c r="B16" s="197" t="inlineStr">
        <is>
          <t>Funding</t>
        </is>
      </c>
      <c r="C16" s="197" t="inlineStr">
        <is>
          <t>Cash taxes and working capital = 0 (customer prepayments ignored)</t>
        </is>
      </c>
      <c r="D16" s="200">
        <f>'Funding Need'!B62</f>
        <v/>
      </c>
      <c r="E16" s="197" t="inlineStr">
        <is>
          <t>$mm</t>
        </is>
      </c>
      <c r="F16" s="197" t="inlineStr">
        <is>
          <t>Funding Need row 62</t>
        </is>
      </c>
      <c r="G16" s="197" t="inlineStr">
        <is>
          <t>Judgment</t>
        </is>
      </c>
      <c r="H16" s="197" t="inlineStr">
        <is>
          <t>Loss-making, so little cash tax; prepayments are lumpy and not contracted to recur</t>
        </is>
      </c>
      <c r="I16" s="197" t="inlineStr">
        <is>
          <t>1H26 pace: ~$1.8bn working-capital inflow per half</t>
        </is>
      </c>
      <c r="J16" s="197" t="inlineStr">
        <is>
          <t>At the 1H26 pace: -$5.8bn new financing (largest single upside to base)</t>
        </is>
      </c>
    </row>
    <row r="17">
      <c r="A17" s="196" t="n">
        <v>13</v>
      </c>
      <c r="B17" s="197" t="inlineStr">
        <is>
          <t>Funding</t>
        </is>
      </c>
      <c r="C17" s="197" t="inlineStr">
        <is>
          <t>Minimum cash balance</t>
        </is>
      </c>
      <c r="D17" s="200">
        <f>'Funding Need'!B9</f>
        <v/>
      </c>
      <c r="E17" s="197" t="inlineStr">
        <is>
          <t>$mm</t>
        </is>
      </c>
      <c r="F17" s="197" t="inlineStr">
        <is>
          <t>Funding Need B9</t>
        </is>
      </c>
      <c r="G17" s="197" t="inlineStr">
        <is>
          <t>Judgment</t>
        </is>
      </c>
      <c r="H17" s="197" t="inlineStr">
        <is>
          <t>~1 quarter of cash operating costs (2H26 revenue x (1 - margin) / 2 = ~$1.7bn), rounded up</t>
        </is>
      </c>
      <c r="I17" s="197" t="inlineStr">
        <is>
          <t>One quarter of debt service (~$3bn)</t>
        </is>
      </c>
      <c r="J17" s="197" t="inlineStr">
        <is>
          <t>+$1bn: +$1.1bn new financing</t>
        </is>
      </c>
    </row>
    <row r="18">
      <c r="A18" s="196" t="n">
        <v>14</v>
      </c>
      <c r="B18" s="197" t="inlineStr">
        <is>
          <t>Funding</t>
        </is>
      </c>
      <c r="C18" s="197" t="inlineStr">
        <is>
          <t>Restricted cash excluded from sources</t>
        </is>
      </c>
      <c r="D18" s="200">
        <f>'10Q_BS'!B9+'10Q_BS'!B14</f>
        <v/>
      </c>
      <c r="E18" s="197" t="inlineStr">
        <is>
          <t>$mm</t>
        </is>
      </c>
      <c r="F18" s="197" t="inlineStr">
        <is>
          <t>Funding Need B13</t>
        </is>
      </c>
      <c r="G18" s="197" t="inlineStr">
        <is>
          <t>10-Q balance sheet</t>
        </is>
      </c>
      <c r="H18" s="197" t="inlineStr">
        <is>
          <t>Held in reserve accounts of financing SPVs; not available for general use</t>
        </is>
      </c>
      <c r="I18" s="197" t="inlineStr">
        <is>
          <t>Include it (the CFO's '$6.9bn' liquidity does)</t>
        </is>
      </c>
      <c r="J18" s="197" t="inlineStr">
        <is>
          <t>Including it: -$1.4bn new financing</t>
        </is>
      </c>
    </row>
    <row r="19">
      <c r="A19" s="196" t="n">
        <v>15</v>
      </c>
      <c r="B19" s="197" t="inlineStr">
        <is>
          <t>Funding</t>
        </is>
      </c>
      <c r="C19" s="197" t="inlineStr">
        <is>
          <t>Undrawn committed facilities fully used for 2H26 capex</t>
        </is>
      </c>
      <c r="D19" s="200">
        <f>'Funding Need'!B14</f>
        <v/>
      </c>
      <c r="E19" s="197" t="inlineStr">
        <is>
          <t>$mm</t>
        </is>
      </c>
      <c r="F19" s="197" t="inlineStr">
        <is>
          <t>Funding Need B14</t>
        </is>
      </c>
      <c r="G19" s="197" t="inlineStr">
        <is>
          <t>Debt Database (undrawn at 8/13)</t>
        </is>
      </c>
      <c r="H19" s="197" t="inlineStr">
        <is>
          <t>DDTL draws can only fund capex on financed contracts; assumed to match planned capex</t>
        </is>
      </c>
      <c r="I19" s="197" t="inlineStr">
        <is>
          <t>Partial use (draw periods lapse, e.g. DDTL 5.0 on 9/30/2026)</t>
        </is>
      </c>
      <c r="J19" s="197" t="inlineStr">
        <is>
          <t>Unused capacity is replaced by new debt at 9.5%</t>
        </is>
      </c>
    </row>
    <row r="20">
      <c r="A20" s="196" t="n">
        <v>16</v>
      </c>
      <c r="B20" s="197" t="inlineStr">
        <is>
          <t>Funding</t>
        </is>
      </c>
      <c r="C20" s="197" t="inlineStr">
        <is>
          <t>Existing-debt interest on average balance; repayments spread evenly</t>
        </is>
      </c>
      <c r="D20" s="199">
        <f>'Funding Need'!B40</f>
        <v/>
      </c>
      <c r="E20" s="197" t="inlineStr">
        <is>
          <t>%</t>
        </is>
      </c>
      <c r="F20" s="197" t="inlineStr">
        <is>
          <t>Funding Need rows 36-44</t>
        </is>
      </c>
      <c r="G20" s="197" t="inlineStr">
        <is>
          <t>10-Q maturity schedule (Table 3)</t>
        </is>
      </c>
      <c r="H20" s="197" t="inlineStr">
        <is>
          <t>Standard average-balance convention</t>
        </is>
      </c>
      <c r="I20" s="197" t="inlineStr">
        <is>
          <t>Opening balance (no credit for repayments)</t>
        </is>
      </c>
      <c r="J20" s="197" t="inlineStr">
        <is>
          <t>Opening balance: +$0.4bn interest over 2H26-FY27</t>
        </is>
      </c>
    </row>
    <row r="21">
      <c r="A21" s="196" t="n">
        <v>17</v>
      </c>
      <c r="B21" s="197" t="inlineStr">
        <is>
          <t>Funding</t>
        </is>
      </c>
      <c r="C21" s="197" t="inlineStr">
        <is>
          <t>Facility draws: drawn evenly in 2H26, at the weighted average rate</t>
        </is>
      </c>
      <c r="D21" s="200">
        <f>'Funding Need'!C43</f>
        <v/>
      </c>
      <c r="E21" s="197" t="inlineStr">
        <is>
          <t>$mm (FY27)</t>
        </is>
      </c>
      <c r="F21" s="197" t="inlineStr">
        <is>
          <t>Funding Need row 43</t>
        </is>
      </c>
      <c r="G21" s="197" t="inlineStr">
        <is>
          <t>Debt Database</t>
        </is>
      </c>
      <c r="H21" s="197" t="inlineStr">
        <is>
          <t>Undrawn capacity becomes debt once used</t>
        </is>
      </c>
      <c r="I21" s="197" t="inlineStr">
        <is>
          <t>Facility-specific rates (~7.8% weighted)</t>
        </is>
      </c>
      <c r="J21" s="197" t="inlineStr">
        <is>
          <t>~-$60m a year at 7.8%; immaterial</t>
        </is>
      </c>
    </row>
    <row r="22">
      <c r="A22" s="196" t="n">
        <v>18</v>
      </c>
      <c r="B22" s="197" t="inlineStr">
        <is>
          <t>Funding</t>
        </is>
      </c>
      <c r="C22" s="197" t="inlineStr">
        <is>
          <t>New debt interest rate</t>
        </is>
      </c>
      <c r="D22" s="199">
        <f>Scenarios!C12</f>
        <v/>
      </c>
      <c r="E22" s="197" t="inlineStr">
        <is>
          <t>%</t>
        </is>
      </c>
      <c r="F22" s="197" t="inlineStr">
        <is>
          <t>Scenarios C12 -&gt; Funding Need B21</t>
        </is>
      </c>
      <c r="G22" s="197" t="inlineStr">
        <is>
          <t>2026 issues: 2031 notes 9.75%, 2032 notes 9.625% (10Q_Debt Table 2); DDTL 5.0 ~9%; DDTL 5.5 ~10%</t>
        </is>
      </c>
      <c r="H22" s="197" t="inlineStr">
        <is>
          <t>Blend of recent secured and unsecured pricing</t>
        </is>
      </c>
      <c r="I22" s="197" t="inlineStr">
        <is>
          <t>Convert-heavy mix (~2% coupons)</t>
        </is>
      </c>
      <c r="J22" s="197" t="inlineStr">
        <is>
          <t>+1pt: +$0.3bn new financing; coverage 1.78x</t>
        </is>
      </c>
    </row>
    <row r="23">
      <c r="A23" s="196" t="n">
        <v>19</v>
      </c>
      <c r="B23" s="197" t="inlineStr">
        <is>
          <t>Funding</t>
        </is>
      </c>
      <c r="C23" s="197" t="inlineStr">
        <is>
          <t>New debt drawn evenly; bullet, not repaid before 2028</t>
        </is>
      </c>
      <c r="D23" s="201">
        <f>'Funding Need'!B23</f>
        <v/>
      </c>
      <c r="E23" s="197" t="inlineStr">
        <is>
          <t>factor</t>
        </is>
      </c>
      <c r="F23" s="197" t="inlineStr">
        <is>
          <t>Funding Need B23:C23</t>
        </is>
      </c>
      <c r="G23" s="197" t="inlineStr">
        <is>
          <t>Judgment</t>
        </is>
      </c>
      <c r="H23" s="197" t="inlineStr">
        <is>
          <t>Borrowing follows capex through the period</t>
        </is>
      </c>
      <c r="I23" s="197" t="inlineStr">
        <is>
          <t>Front-loaded borrowing</t>
        </is>
      </c>
      <c r="J23" s="197" t="inlineStr">
        <is>
          <t>Front-loading raises 2H26 interest; small</t>
        </is>
      </c>
    </row>
    <row r="24">
      <c r="A24" s="196" t="n">
        <v>20</v>
      </c>
      <c r="B24" s="197" t="inlineStr">
        <is>
          <t>Maturity</t>
        </is>
      </c>
      <c r="C24" s="197" t="inlineStr">
        <is>
          <t>DDTL 5.5 placed at final maturity (Sep 2031)</t>
        </is>
      </c>
      <c r="D24" s="200">
        <f>Maturity!G7</f>
        <v/>
      </c>
      <c r="E24" s="197" t="inlineStr">
        <is>
          <t>$mm</t>
        </is>
      </c>
      <c r="F24" s="197" t="inlineStr">
        <is>
          <t>Maturity row 7</t>
        </is>
      </c>
      <c r="G24" s="197" t="inlineStr">
        <is>
          <t>8-K (amortization schedule not disclosed)</t>
        </is>
      </c>
      <c r="H24" s="197" t="inlineStr">
        <is>
          <t>No schedule disclosed</t>
        </is>
      </c>
      <c r="I24" s="197" t="inlineStr">
        <is>
          <t>Amortize like DDTL 5.0</t>
        </is>
      </c>
      <c r="J24" s="197" t="inlineStr">
        <is>
          <t>Moves up to $1.2bn from 'Thereafter' into 2027-31</t>
        </is>
      </c>
    </row>
    <row r="25">
      <c r="A25" s="196" t="n">
        <v>21</v>
      </c>
      <c r="B25" s="197" t="inlineStr">
        <is>
          <t>Metrics</t>
        </is>
      </c>
      <c r="C25" s="197" t="inlineStr">
        <is>
          <t>LTM = FY25 + 1H26 - 1H25; company Adj. EBITDA as earnings measure</t>
        </is>
      </c>
      <c r="D25" s="200">
        <f>Metrics!E6</f>
        <v/>
      </c>
      <c r="E25" s="197" t="inlineStr">
        <is>
          <t>$mm</t>
        </is>
      </c>
      <c r="F25" s="197" t="inlineStr">
        <is>
          <t>Metrics column E</t>
        </is>
      </c>
      <c r="G25" s="197" t="inlineStr">
        <is>
          <t>Q4'25 and Q2'26 press releases</t>
        </is>
      </c>
      <c r="H25" s="197" t="inlineStr">
        <is>
          <t>Latest four quarters; the non-GAAP measure lenders and the company use</t>
        </is>
      </c>
      <c r="I25" s="197" t="inlineStr">
        <is>
          <t>GAAP EBITDA; FY25 alone</t>
        </is>
      </c>
      <c r="J25" s="197" t="inlineStr">
        <is>
          <t>Adj. EBITDA adds back ~$0.6bn of LTM stock-based compensation</t>
        </is>
      </c>
    </row>
    <row r="26">
      <c r="A26" s="196" t="n">
        <v>22</v>
      </c>
      <c r="B26" s="197" t="inlineStr">
        <is>
          <t>Metrics</t>
        </is>
      </c>
      <c r="C26" s="197" t="inlineStr">
        <is>
          <t>Run-rate = Q2'26 x 4</t>
        </is>
      </c>
      <c r="D26" s="200">
        <f>Metrics!G6</f>
        <v/>
      </c>
      <c r="E26" s="197" t="inlineStr">
        <is>
          <t>$mm</t>
        </is>
      </c>
      <c r="F26" s="197" t="inlineStr">
        <is>
          <t>Metrics column G</t>
        </is>
      </c>
      <c r="G26" s="197" t="inlineStr">
        <is>
          <t>Q2'26 press release</t>
        </is>
      </c>
      <c r="H26" s="197" t="inlineStr">
        <is>
          <t>Captures growth that LTM lags</t>
        </is>
      </c>
      <c r="I26" s="197" t="inlineStr">
        <is>
          <t>Q3'26 guidance annualized</t>
        </is>
      </c>
      <c r="J26" s="197" t="inlineStr">
        <is>
          <t>Understates if June's 300 MW of new capacity ramps; overstates if Q2 had one-offs</t>
        </is>
      </c>
    </row>
    <row r="27">
      <c r="A27" s="196" t="n">
        <v>23</v>
      </c>
      <c r="B27" s="197" t="inlineStr">
        <is>
          <t>Metrics</t>
        </is>
      </c>
      <c r="C27" s="197" t="inlineStr">
        <is>
          <t>Principal due in 12 months = 10-Q current portion of debt</t>
        </is>
      </c>
      <c r="D27" s="200">
        <f>Metrics!E31</f>
        <v/>
      </c>
      <c r="E27" s="197" t="inlineStr">
        <is>
          <t>$mm</t>
        </is>
      </c>
      <c r="F27" s="197" t="inlineStr">
        <is>
          <t>Metrics E31</t>
        </is>
      </c>
      <c r="G27" s="197" t="inlineStr">
        <is>
          <t>10-Q Note 10 (current portion, carrying value)</t>
        </is>
      </c>
      <c r="H27" s="197" t="inlineStr">
        <is>
          <t>Matches the 12-month window exactly</t>
        </is>
      </c>
      <c r="I27" s="197" t="inlineStr">
        <is>
          <t>Table 3: 2H26 + half of 2027 ($7,505m)</t>
        </is>
      </c>
      <c r="J27" s="197" t="inlineStr">
        <is>
          <t>~$8m difference; immaterial</t>
        </is>
      </c>
    </row>
    <row r="28">
      <c r="A28" s="196" t="n">
        <v>24</v>
      </c>
      <c r="B28" s="197" t="inlineStr">
        <is>
          <t>Scenarios</t>
        </is>
      </c>
      <c r="C28" s="197" t="inlineStr">
        <is>
          <t>Downside drivers (margin 45%, revenue -10%/-20%, SOFR +100bp, new debt 11-12%); capex held at plan in all cases</t>
        </is>
      </c>
      <c r="D28" s="199">
        <f>Scenarios!D10</f>
        <v/>
      </c>
      <c r="E28" s="197" t="inlineStr">
        <is>
          <t>% (case A/B margin)</t>
        </is>
      </c>
      <c r="F28" s="197" t="inlineStr">
        <is>
          <t>Scenarios tab</t>
        </is>
      </c>
      <c r="G28" s="197" t="inlineStr">
        <is>
          <t>Judgment (rationale in Scenarios column G)</t>
        </is>
      </c>
      <c r="H28" s="197" t="inlineStr">
        <is>
          <t>Tests pricing, delays and rates alone and combined</t>
        </is>
      </c>
      <c r="I28" s="197" t="inlineStr">
        <is>
          <t>Cut capex in the downside (management lever)</t>
        </is>
      </c>
      <c r="J28" s="197" t="inlineStr">
        <is>
          <t>Case B: coverage 0.96x; holding capex makes the downside harsher than if management cut spending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2026-10-23T20:21:09Z</dcterms:created>
  <dcterms:modified xmlns:dcterms="http://purl.org/dc/terms/" xmlns:xsi="http://www.w3.org/2001/XMLSchema-instance" xsi:type="dcterms:W3CDTF">2026-10-29T17:34:32Z</dcterms:modified>
  <cp:lastModifiedBy>ab2355</cp:lastModifiedBy>
  <cp:revision>0</cp:revision>
</cp:coreProperties>
</file>